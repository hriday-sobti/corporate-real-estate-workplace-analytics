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Register" sheetId="2" state="visible" r:id="rId2"/>
    <sheet xmlns:r="http://schemas.openxmlformats.org/officeDocument/2006/relationships" name="Occupancy Analysis" sheetId="3" state="visible" r:id="rId3"/>
    <sheet xmlns:r="http://schemas.openxmlformats.org/officeDocument/2006/relationships" name="Cost Analysis" sheetId="4" state="visible" r:id="rId4"/>
    <sheet xmlns:r="http://schemas.openxmlformats.org/officeDocument/2006/relationships" name="Lease Tracker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Project Tracker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 assets"/>
    <numFmt numFmtId="165" formatCode="#,##0 &quot;m²&quot;"/>
    <numFmt numFmtId="166" formatCode="#,##0 &quot;seats&quot;"/>
    <numFmt numFmtId="167" formatCode="#,##0 &quot;staff&quot;"/>
    <numFmt numFmtId="168" formatCode="0.0%"/>
    <numFmt numFmtId="169" formatCode="₹#,##0"/>
    <numFmt numFmtId="170" formatCode="#,##0.0"/>
    <numFmt numFmtId="171" formatCode="0.0"/>
    <numFmt numFmtId="172" formatCode="0&quot;%&quot;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222222"/>
      <sz val="10"/>
    </font>
    <font>
      <name val="Segoe UI"/>
      <b val="1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F4E79"/>
        <bgColor rgb="001F4E79"/>
      </patternFill>
    </fill>
    <fill>
      <patternFill patternType="solid">
        <fgColor rgb="00E9ECEF"/>
        <bgColor rgb="00E9ECE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6" fontId="1" fillId="2" borderId="1" applyAlignment="1" pivotButton="0" quotePrefix="0" xfId="0">
      <alignment horizontal="center"/>
    </xf>
    <xf numFmtId="167" fontId="1" fillId="2" borderId="1" applyAlignment="1" pivotButton="0" quotePrefix="0" xfId="0">
      <alignment horizontal="center"/>
    </xf>
    <xf numFmtId="168" fontId="1" fillId="2" borderId="1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2" fontId="6" fillId="0" borderId="1" pivotButton="0" quotePrefix="0" xfId="0"/>
    <xf numFmtId="169" fontId="6" fillId="0" borderId="1" pivotButton="0" quotePrefix="0" xfId="0"/>
    <xf numFmtId="0" fontId="7" fillId="4" borderId="2" pivotButton="0" quotePrefix="0" xfId="0"/>
    <xf numFmtId="3" fontId="7" fillId="4" borderId="2" pivotButton="0" quotePrefix="0" xfId="0"/>
    <xf numFmtId="2" fontId="7" fillId="4" borderId="2" pivotButton="0" quotePrefix="0" xfId="0"/>
    <xf numFmtId="169" fontId="7" fillId="4" borderId="2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/>
    </xf>
    <xf numFmtId="170" fontId="6" fillId="0" borderId="1" pivotButton="0" quotePrefix="0" xfId="0"/>
    <xf numFmtId="171" fontId="6" fillId="0" borderId="1" pivotButton="0" quotePrefix="0" xfId="0"/>
    <xf numFmtId="168" fontId="6" fillId="0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170" fontId="6" fillId="5" borderId="1" pivotButton="0" quotePrefix="0" xfId="0"/>
    <xf numFmtId="3" fontId="6" fillId="5" borderId="1" pivotButton="0" quotePrefix="0" xfId="0"/>
    <xf numFmtId="171" fontId="6" fillId="5" borderId="1" pivotButton="0" quotePrefix="0" xfId="0"/>
    <xf numFmtId="2" fontId="6" fillId="5" borderId="1" pivotButton="0" quotePrefix="0" xfId="0"/>
    <xf numFmtId="168" fontId="6" fillId="5" borderId="1" pivotButton="0" quotePrefix="0" xfId="0"/>
    <xf numFmtId="170" fontId="7" fillId="4" borderId="2" pivotButton="0" quotePrefix="0" xfId="0"/>
    <xf numFmtId="171" fontId="7" fillId="4" borderId="2" pivotButton="0" quotePrefix="0" xfId="0"/>
    <xf numFmtId="168" fontId="7" fillId="4" borderId="2" pivotButton="0" quotePrefix="0" xfId="0"/>
    <xf numFmtId="169" fontId="6" fillId="5" borderId="1" pivotButton="0" quotePrefix="0" xfId="0"/>
    <xf numFmtId="1" fontId="6" fillId="0" borderId="1" pivotButton="0" quotePrefix="0" xfId="0"/>
    <xf numFmtId="1" fontId="6" fillId="5" borderId="1" pivotButton="0" quotePrefix="0" xfId="0"/>
    <xf numFmtId="0" fontId="7" fillId="2" borderId="1" pivotButton="0" quotePrefix="0" xfId="0"/>
    <xf numFmtId="3" fontId="7" fillId="2" borderId="1" pivotButton="0" quotePrefix="0" xfId="0"/>
    <xf numFmtId="10" fontId="7" fillId="2" borderId="1" pivotButton="0" quotePrefix="0" xfId="0"/>
    <xf numFmtId="168" fontId="7" fillId="2" borderId="1" pivotButton="0" quotePrefix="0" xfId="0"/>
    <xf numFmtId="172" fontId="6" fillId="0" borderId="1" pivotButton="0" quotePrefix="0" xfId="0"/>
    <xf numFmtId="172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4" customWidth="1" min="3" max="3"/>
    <col width="25" customWidth="1" min="4" max="4"/>
    <col width="25" customWidth="1" min="5" max="5"/>
    <col width="25" customWidth="1" min="6" max="6"/>
    <col width="15" customWidth="1" min="7" max="7"/>
    <col width="20" customWidth="1" min="8" max="8"/>
  </cols>
  <sheetData>
    <row r="1"/>
    <row r="2">
      <c r="A2" s="1" t="inlineStr">
        <is>
          <t>CORPORATE REAL ESTATE PORTFOLIO &amp; WORKPLACE ANALYTICS</t>
        </is>
      </c>
    </row>
    <row r="3">
      <c r="A3" s="2" t="inlineStr">
        <is>
          <t>Executive Management Overview &amp; Portfolio Operating Synthesis | Reporting Date: 2026-09-30 | Currency: INR (₹)</t>
        </is>
      </c>
    </row>
    <row r="4"/>
    <row r="5">
      <c r="B5" s="3" t="inlineStr">
        <is>
          <t>Total Properties</t>
        </is>
      </c>
      <c r="C5" s="3" t="inlineStr">
        <is>
          <t>Total Usable Area</t>
        </is>
      </c>
      <c r="D5" s="3" t="inlineStr">
        <is>
          <t>Total Seat Capacity</t>
        </is>
      </c>
      <c r="E5" s="3" t="inlineStr">
        <is>
          <t>Assigned Headcount</t>
        </is>
      </c>
      <c r="F5" s="3" t="inlineStr">
        <is>
          <t>Average Utilization</t>
        </is>
      </c>
    </row>
    <row r="6">
      <c r="B6" s="4">
        <f>COUNTA('Property Register'!A5:A29)</f>
        <v/>
      </c>
      <c r="C6" s="5">
        <f>SUM('Property Register'!I5:I29)</f>
        <v/>
      </c>
      <c r="D6" s="6">
        <f>SUM('Property Register'!J5:J29)</f>
        <v/>
      </c>
      <c r="E6" s="7">
        <f>SUM('Property Register'!K5:K29)</f>
        <v/>
      </c>
      <c r="F6" s="8">
        <f>AVERAGE('Occupancy Analysis'!G5:G29)/100</f>
        <v/>
      </c>
    </row>
    <row r="7"/>
    <row r="8">
      <c r="B8" s="3" t="inlineStr">
        <is>
          <t>Capacity Pressure</t>
        </is>
      </c>
      <c r="C8" s="3" t="inlineStr">
        <is>
          <t>Annual Operating Cost</t>
        </is>
      </c>
      <c r="D8" s="3" t="inlineStr">
        <is>
          <t>Cost per Occupied Seat</t>
        </is>
      </c>
      <c r="E8" s="3" t="inlineStr">
        <is>
          <t>Leases Expiring &lt;= 12M</t>
        </is>
      </c>
      <c r="F8" s="3" t="inlineStr">
        <is>
          <t>Data Quality Pass Rate</t>
        </is>
      </c>
    </row>
    <row r="9">
      <c r="B9" s="8">
        <f>AVERAGE('Occupancy Analysis'!L5:L29)/100</f>
        <v/>
      </c>
      <c r="C9" s="9">
        <f>SUM('Cost Analysis'!G5:G29)</f>
        <v/>
      </c>
      <c r="D9" s="9">
        <f>AVERAGE('Cost Analysis'!J5:J29)</f>
        <v/>
      </c>
      <c r="E9" s="10">
        <f>COUNTIF('Lease Tracker'!J5:J29, "Expiring &lt;= 6M") + COUNTIF('Lease Tracker'!J5:J29, "Expiring 6-12M")</f>
        <v/>
      </c>
      <c r="F9" s="11">
        <f>(282584 - 'Data Quality'!B6)/282584</f>
        <v/>
      </c>
    </row>
    <row r="10"/>
    <row r="11"/>
    <row r="12">
      <c r="B12" s="12" t="inlineStr">
        <is>
          <t>Regional Portfolio Rollup</t>
        </is>
      </c>
    </row>
    <row r="13">
      <c r="B13" s="13" t="inlineStr">
        <is>
          <t>Region</t>
        </is>
      </c>
      <c r="C13" s="13" t="inlineStr">
        <is>
          <t>Properties</t>
        </is>
      </c>
      <c r="D13" s="13" t="inlineStr">
        <is>
          <t>Usable Area (m²)</t>
        </is>
      </c>
      <c r="E13" s="13" t="inlineStr">
        <is>
          <t>Capacity Seats</t>
        </is>
      </c>
      <c r="F13" s="13" t="inlineStr">
        <is>
          <t>Assigned Headcount</t>
        </is>
      </c>
      <c r="G13" s="13" t="inlineStr">
        <is>
          <t>Desk Sharing</t>
        </is>
      </c>
      <c r="H13" s="13" t="inlineStr">
        <is>
          <t>Annual Cost (INR)</t>
        </is>
      </c>
    </row>
    <row r="14">
      <c r="B14" s="14" t="inlineStr">
        <is>
          <t>India</t>
        </is>
      </c>
      <c r="C14" s="15">
        <f>COUNTIF('Property Register'!C5:C29, "India")</f>
        <v/>
      </c>
      <c r="D14" s="15">
        <f>SUMIF('Property Register'!C5:C29, "India", 'Property Register'!I5:I29)</f>
        <v/>
      </c>
      <c r="E14" s="15">
        <f>SUMIF('Property Register'!C5:C29, "India", 'Property Register'!J5:J29)</f>
        <v/>
      </c>
      <c r="F14" s="15">
        <f>SUMIF('Property Register'!C5:C29, "India", 'Property Register'!K5:K29)</f>
        <v/>
      </c>
      <c r="G14" s="16">
        <f>F14/E14</f>
        <v/>
      </c>
      <c r="H14" s="17">
        <f>SUMIF('Property Register'!C5:C29, "India", 'Cost Analysis'!G5:G29)</f>
        <v/>
      </c>
    </row>
    <row r="15">
      <c r="B15" s="14" t="inlineStr">
        <is>
          <t>Asia-Pacific</t>
        </is>
      </c>
      <c r="C15" s="15">
        <f>COUNTIF('Property Register'!C5:C29, "Asia-Pacific")</f>
        <v/>
      </c>
      <c r="D15" s="15">
        <f>SUMIF('Property Register'!C5:C29, "Asia-Pacific", 'Property Register'!I5:I29)</f>
        <v/>
      </c>
      <c r="E15" s="15">
        <f>SUMIF('Property Register'!C5:C29, "Asia-Pacific", 'Property Register'!J5:J29)</f>
        <v/>
      </c>
      <c r="F15" s="15">
        <f>SUMIF('Property Register'!C5:C29, "Asia-Pacific", 'Property Register'!K5:K29)</f>
        <v/>
      </c>
      <c r="G15" s="16">
        <f>F15/E15</f>
        <v/>
      </c>
      <c r="H15" s="17">
        <f>SUMIF('Property Register'!C5:C29, "Asia-Pacific", 'Cost Analysis'!G5:G29)</f>
        <v/>
      </c>
    </row>
    <row r="16">
      <c r="B16" s="18" t="inlineStr">
        <is>
          <t>Total Regional Portfolio</t>
        </is>
      </c>
      <c r="C16" s="19">
        <f>SUM(C14:C15)</f>
        <v/>
      </c>
      <c r="D16" s="19">
        <f>SUM(D14:D15)</f>
        <v/>
      </c>
      <c r="E16" s="19">
        <f>SUM(E14:E15)</f>
        <v/>
      </c>
      <c r="F16" s="19">
        <f>SUM(F14:F15)</f>
        <v/>
      </c>
      <c r="G16" s="20">
        <f>F16/E16</f>
        <v/>
      </c>
      <c r="H16" s="21">
        <f>SUM(H14:H15)</f>
        <v/>
      </c>
    </row>
    <row r="17"/>
    <row r="18"/>
    <row r="19">
      <c r="B19" s="12" t="inlineStr">
        <is>
          <t>Executive Analytical Observations</t>
        </is>
      </c>
    </row>
    <row r="20">
      <c r="B20" s="22" t="inlineStr">
        <is>
          <t>1. Mid-Week vs. Monthly Average: Portfolio average utilization of 59.4% masks acute mid-week demand (Wednesdays hit 74.2% average and 89.1% peak), requiring peak-smoothing policies rather than indiscriminate seat reductions.</t>
        </is>
      </c>
    </row>
    <row r="21">
      <c r="B21" s="22" t="inlineStr">
        <is>
          <t>2. Cost Concentration: Singapore and Sydney command premium operating expenditure (₹122.9 Cr combined), requiring rigorous seat productivity review prior to approaching lease decisions.</t>
        </is>
      </c>
    </row>
    <row r="22">
      <c r="B22" s="22" t="inlineStr">
        <is>
          <t>3. Near-Term Leases: 10 lease events occur within 12 months (₹105.8 Cr annual base rent exposure), led by Singapore Marina Bay (Feb 2027) and Mumbai Nariman Point (Mar 2027).</t>
        </is>
      </c>
    </row>
    <row r="23">
      <c r="B23" s="22" t="inlineStr">
        <is>
          <t>4. Data Governance Confidence: 100% of injected raw defects (44 items) remediated and validated in clean analytical data layer with 99.98% overall pass rate.</t>
        </is>
      </c>
    </row>
  </sheetData>
  <mergeCells count="4">
    <mergeCell ref="B22:H22"/>
    <mergeCell ref="B21:H21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2" customWidth="1" min="4" max="4"/>
    <col width="15" customWidth="1" min="5" max="5"/>
    <col width="34" customWidth="1" min="6" max="6"/>
    <col width="12" customWidth="1" min="7" max="7"/>
    <col width="21" customWidth="1" min="8" max="8"/>
    <col width="19" customWidth="1" min="9" max="9"/>
    <col width="19" customWidth="1" min="10" max="10"/>
    <col width="21" customWidth="1" min="11" max="11"/>
    <col width="30" customWidth="1" min="12" max="12"/>
    <col width="16" customWidth="1" min="13" max="13"/>
    <col width="21" customWidth="1" min="14" max="14"/>
  </cols>
  <sheetData>
    <row r="1"/>
    <row r="2">
      <c r="A2" s="1" t="inlineStr">
        <is>
          <t>PROPERTY REGISTER &amp; SPATIAL MASTER</t>
        </is>
      </c>
    </row>
    <row r="3">
      <c r="A3" s="2" t="inlineStr">
        <is>
          <t>Physical asset inventory, usable and rentable floor area, capacity, and density ratios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Region</t>
        </is>
      </c>
      <c r="D4" s="13" t="inlineStr">
        <is>
          <t>Country</t>
        </is>
      </c>
      <c r="E4" s="13" t="inlineStr">
        <is>
          <t>City</t>
        </is>
      </c>
      <c r="F4" s="13" t="inlineStr">
        <is>
          <t>Facility Type</t>
        </is>
      </c>
      <c r="G4" s="13" t="inlineStr">
        <is>
          <t>Ownership</t>
        </is>
      </c>
      <c r="H4" s="13" t="inlineStr">
        <is>
          <t>Rentable Area (m²)</t>
        </is>
      </c>
      <c r="I4" s="13" t="inlineStr">
        <is>
          <t>Usable Area (m²)</t>
        </is>
      </c>
      <c r="J4" s="13" t="inlineStr">
        <is>
          <t>Capacity (Seats)</t>
        </is>
      </c>
      <c r="K4" s="13" t="inlineStr">
        <is>
          <t>Assigned Headcount</t>
        </is>
      </c>
      <c r="L4" s="13" t="inlineStr">
        <is>
          <t>Workplace Density (m²/seat)</t>
        </is>
      </c>
      <c r="M4" s="13" t="inlineStr">
        <is>
          <t>Sharing Ratio</t>
        </is>
      </c>
      <c r="N4" s="13" t="inlineStr">
        <is>
          <t>Core Loss Factor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India</t>
        </is>
      </c>
      <c r="D5" s="23" t="inlineStr">
        <is>
          <t>India</t>
        </is>
      </c>
      <c r="E5" s="23" t="inlineStr">
        <is>
          <t>Mumbai</t>
        </is>
      </c>
      <c r="F5" s="14" t="inlineStr">
        <is>
          <t>Regional Headquarters</t>
        </is>
      </c>
      <c r="G5" s="23" t="inlineStr">
        <is>
          <t>Leased</t>
        </is>
      </c>
      <c r="H5" s="24" t="n">
        <v>8200</v>
      </c>
      <c r="I5" s="24" t="n">
        <v>6800</v>
      </c>
      <c r="J5" s="15" t="n">
        <v>620</v>
      </c>
      <c r="K5" s="15" t="n">
        <v>820</v>
      </c>
      <c r="L5" s="25">
        <f>I5/J5</f>
        <v/>
      </c>
      <c r="M5" s="16">
        <f>K5/J5</f>
        <v/>
      </c>
      <c r="N5" s="26">
        <f>(H5-I5)/H5</f>
        <v/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India</t>
        </is>
      </c>
      <c r="D6" s="27" t="inlineStr">
        <is>
          <t>India</t>
        </is>
      </c>
      <c r="E6" s="27" t="inlineStr">
        <is>
          <t>Mumbai</t>
        </is>
      </c>
      <c r="F6" s="28" t="inlineStr">
        <is>
          <t>Regional Sales &amp; Client Office</t>
        </is>
      </c>
      <c r="G6" s="27" t="inlineStr">
        <is>
          <t>Leased</t>
        </is>
      </c>
      <c r="H6" s="29" t="n">
        <v>4500</v>
      </c>
      <c r="I6" s="29" t="n">
        <v>3750</v>
      </c>
      <c r="J6" s="30" t="n">
        <v>340</v>
      </c>
      <c r="K6" s="30" t="n">
        <v>480</v>
      </c>
      <c r="L6" s="31">
        <f>I6/J6</f>
        <v/>
      </c>
      <c r="M6" s="32">
        <f>K6/J6</f>
        <v/>
      </c>
      <c r="N6" s="33">
        <f>(H6-I6)/H6</f>
        <v/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India</t>
        </is>
      </c>
      <c r="D7" s="23" t="inlineStr">
        <is>
          <t>India</t>
        </is>
      </c>
      <c r="E7" s="23" t="inlineStr">
        <is>
          <t>Mumbai</t>
        </is>
      </c>
      <c r="F7" s="14" t="inlineStr">
        <is>
          <t>Business Operations Center</t>
        </is>
      </c>
      <c r="G7" s="23" t="inlineStr">
        <is>
          <t>Leased</t>
        </is>
      </c>
      <c r="H7" s="24" t="n">
        <v>12500</v>
      </c>
      <c r="I7" s="24" t="n">
        <v>10600</v>
      </c>
      <c r="J7" s="15" t="n">
        <v>1250</v>
      </c>
      <c r="K7" s="15" t="n">
        <v>1450</v>
      </c>
      <c r="L7" s="25">
        <f>I7/J7</f>
        <v/>
      </c>
      <c r="M7" s="16">
        <f>K7/J7</f>
        <v/>
      </c>
      <c r="N7" s="26">
        <f>(H7-I7)/H7</f>
        <v/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India</t>
        </is>
      </c>
      <c r="D8" s="27" t="inlineStr">
        <is>
          <t>India</t>
        </is>
      </c>
      <c r="E8" s="27" t="inlineStr">
        <is>
          <t>Pune</t>
        </is>
      </c>
      <c r="F8" s="28" t="inlineStr">
        <is>
          <t>Technology &amp; Engineering Campus</t>
        </is>
      </c>
      <c r="G8" s="27" t="inlineStr">
        <is>
          <t>Owned</t>
        </is>
      </c>
      <c r="H8" s="29" t="n">
        <v>18000</v>
      </c>
      <c r="I8" s="29" t="n">
        <v>15500</v>
      </c>
      <c r="J8" s="30" t="n">
        <v>1720</v>
      </c>
      <c r="K8" s="30" t="n">
        <v>2150</v>
      </c>
      <c r="L8" s="31">
        <f>I8/J8</f>
        <v/>
      </c>
      <c r="M8" s="32">
        <f>K8/J8</f>
        <v/>
      </c>
      <c r="N8" s="33">
        <f>(H8-I8)/H8</f>
        <v/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India</t>
        </is>
      </c>
      <c r="D9" s="23" t="inlineStr">
        <is>
          <t>India</t>
        </is>
      </c>
      <c r="E9" s="23" t="inlineStr">
        <is>
          <t>Pune</t>
        </is>
      </c>
      <c r="F9" s="14" t="inlineStr">
        <is>
          <t>Business Operations Center</t>
        </is>
      </c>
      <c r="G9" s="23" t="inlineStr">
        <is>
          <t>Leased</t>
        </is>
      </c>
      <c r="H9" s="24" t="n">
        <v>9200</v>
      </c>
      <c r="I9" s="24" t="n">
        <v>7800</v>
      </c>
      <c r="J9" s="15" t="n">
        <v>950</v>
      </c>
      <c r="K9" s="15" t="n">
        <v>1050</v>
      </c>
      <c r="L9" s="25">
        <f>I9/J9</f>
        <v/>
      </c>
      <c r="M9" s="16">
        <f>K9/J9</f>
        <v/>
      </c>
      <c r="N9" s="26">
        <f>(H9-I9)/H9</f>
        <v/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India</t>
        </is>
      </c>
      <c r="D10" s="27" t="inlineStr">
        <is>
          <t>India</t>
        </is>
      </c>
      <c r="E10" s="27" t="inlineStr">
        <is>
          <t>Bengaluru</t>
        </is>
      </c>
      <c r="F10" s="28" t="inlineStr">
        <is>
          <t>Technology &amp; Engineering Campus</t>
        </is>
      </c>
      <c r="G10" s="27" t="inlineStr">
        <is>
          <t>Leased</t>
        </is>
      </c>
      <c r="H10" s="29" t="n">
        <v>21000</v>
      </c>
      <c r="I10" s="29" t="n">
        <v>17850</v>
      </c>
      <c r="J10" s="30" t="n">
        <v>1980</v>
      </c>
      <c r="K10" s="30" t="n">
        <v>2600</v>
      </c>
      <c r="L10" s="31">
        <f>I10/J10</f>
        <v/>
      </c>
      <c r="M10" s="32">
        <f>K10/J10</f>
        <v/>
      </c>
      <c r="N10" s="33">
        <f>(H10-I10)/H10</f>
        <v/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India</t>
        </is>
      </c>
      <c r="D11" s="23" t="inlineStr">
        <is>
          <t>India</t>
        </is>
      </c>
      <c r="E11" s="23" t="inlineStr">
        <is>
          <t>Bengaluru</t>
        </is>
      </c>
      <c r="F11" s="14" t="inlineStr">
        <is>
          <t>Technology &amp; Engineering Campus</t>
        </is>
      </c>
      <c r="G11" s="23" t="inlineStr">
        <is>
          <t>Leased</t>
        </is>
      </c>
      <c r="H11" s="24" t="n">
        <v>14000</v>
      </c>
      <c r="I11" s="24" t="n">
        <v>11900</v>
      </c>
      <c r="J11" s="15" t="n">
        <v>1320</v>
      </c>
      <c r="K11" s="15" t="n">
        <v>1700</v>
      </c>
      <c r="L11" s="25">
        <f>I11/J11</f>
        <v/>
      </c>
      <c r="M11" s="16">
        <f>K11/J11</f>
        <v/>
      </c>
      <c r="N11" s="26">
        <f>(H11-I11)/H11</f>
        <v/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India</t>
        </is>
      </c>
      <c r="D12" s="27" t="inlineStr">
        <is>
          <t>India</t>
        </is>
      </c>
      <c r="E12" s="27" t="inlineStr">
        <is>
          <t>Bengaluru</t>
        </is>
      </c>
      <c r="F12" s="28" t="inlineStr">
        <is>
          <t>Business Operations Center</t>
        </is>
      </c>
      <c r="G12" s="27" t="inlineStr">
        <is>
          <t>Owned</t>
        </is>
      </c>
      <c r="H12" s="29" t="n">
        <v>11000</v>
      </c>
      <c r="I12" s="29" t="n">
        <v>9350</v>
      </c>
      <c r="J12" s="30" t="n">
        <v>1100</v>
      </c>
      <c r="K12" s="30" t="n">
        <v>1250</v>
      </c>
      <c r="L12" s="31">
        <f>I12/J12</f>
        <v/>
      </c>
      <c r="M12" s="32">
        <f>K12/J12</f>
        <v/>
      </c>
      <c r="N12" s="33">
        <f>(H12-I12)/H12</f>
        <v/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India</t>
        </is>
      </c>
      <c r="D13" s="23" t="inlineStr">
        <is>
          <t>India</t>
        </is>
      </c>
      <c r="E13" s="23" t="inlineStr">
        <is>
          <t>Chennai</t>
        </is>
      </c>
      <c r="F13" s="14" t="inlineStr">
        <is>
          <t>Technology &amp; Engineering Campus</t>
        </is>
      </c>
      <c r="G13" s="23" t="inlineStr">
        <is>
          <t>Leased</t>
        </is>
      </c>
      <c r="H13" s="24" t="n">
        <v>13500</v>
      </c>
      <c r="I13" s="24" t="n">
        <v>11475</v>
      </c>
      <c r="J13" s="15" t="n">
        <v>1280</v>
      </c>
      <c r="K13" s="15" t="n">
        <v>1500</v>
      </c>
      <c r="L13" s="25">
        <f>I13/J13</f>
        <v/>
      </c>
      <c r="M13" s="16">
        <f>K13/J13</f>
        <v/>
      </c>
      <c r="N13" s="26">
        <f>(H13-I13)/H13</f>
        <v/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India</t>
        </is>
      </c>
      <c r="D14" s="27" t="inlineStr">
        <is>
          <t>India</t>
        </is>
      </c>
      <c r="E14" s="27" t="inlineStr">
        <is>
          <t>Chennai</t>
        </is>
      </c>
      <c r="F14" s="28" t="inlineStr">
        <is>
          <t>Business Operations Center</t>
        </is>
      </c>
      <c r="G14" s="27" t="inlineStr">
        <is>
          <t>Leased</t>
        </is>
      </c>
      <c r="H14" s="29" t="n">
        <v>7500</v>
      </c>
      <c r="I14" s="29" t="n">
        <v>6375</v>
      </c>
      <c r="J14" s="30" t="n">
        <v>750</v>
      </c>
      <c r="K14" s="30" t="n">
        <v>820</v>
      </c>
      <c r="L14" s="31">
        <f>I14/J14</f>
        <v/>
      </c>
      <c r="M14" s="32">
        <f>K14/J14</f>
        <v/>
      </c>
      <c r="N14" s="33">
        <f>(H14-I14)/H14</f>
        <v/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India</t>
        </is>
      </c>
      <c r="D15" s="23" t="inlineStr">
        <is>
          <t>India</t>
        </is>
      </c>
      <c r="E15" s="23" t="inlineStr">
        <is>
          <t>Hyderabad</t>
        </is>
      </c>
      <c r="F15" s="14" t="inlineStr">
        <is>
          <t>Technology &amp; Engineering Campus</t>
        </is>
      </c>
      <c r="G15" s="23" t="inlineStr">
        <is>
          <t>Leased</t>
        </is>
      </c>
      <c r="H15" s="24" t="n">
        <v>16000</v>
      </c>
      <c r="I15" s="24" t="n">
        <v>13600</v>
      </c>
      <c r="J15" s="15" t="n">
        <v>1500</v>
      </c>
      <c r="K15" s="15" t="n">
        <v>1950</v>
      </c>
      <c r="L15" s="25">
        <f>I15/J15</f>
        <v/>
      </c>
      <c r="M15" s="16">
        <f>K15/J15</f>
        <v/>
      </c>
      <c r="N15" s="26">
        <f>(H15-I15)/H15</f>
        <v/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India</t>
        </is>
      </c>
      <c r="D16" s="27" t="inlineStr">
        <is>
          <t>India</t>
        </is>
      </c>
      <c r="E16" s="27" t="inlineStr">
        <is>
          <t>Hyderabad</t>
        </is>
      </c>
      <c r="F16" s="28" t="inlineStr">
        <is>
          <t>Regional Sales &amp; Client Office</t>
        </is>
      </c>
      <c r="G16" s="27" t="inlineStr">
        <is>
          <t>Leased</t>
        </is>
      </c>
      <c r="H16" s="29" t="n">
        <v>5200</v>
      </c>
      <c r="I16" s="29" t="n">
        <v>4420</v>
      </c>
      <c r="J16" s="30" t="n">
        <v>420</v>
      </c>
      <c r="K16" s="30" t="n">
        <v>520</v>
      </c>
      <c r="L16" s="31">
        <f>I16/J16</f>
        <v/>
      </c>
      <c r="M16" s="32">
        <f>K16/J16</f>
        <v/>
      </c>
      <c r="N16" s="33">
        <f>(H16-I16)/H16</f>
        <v/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India</t>
        </is>
      </c>
      <c r="D17" s="23" t="inlineStr">
        <is>
          <t>India</t>
        </is>
      </c>
      <c r="E17" s="23" t="inlineStr">
        <is>
          <t>Delhi NCR</t>
        </is>
      </c>
      <c r="F17" s="14" t="inlineStr">
        <is>
          <t>Regional Headquarters</t>
        </is>
      </c>
      <c r="G17" s="23" t="inlineStr">
        <is>
          <t>Leased</t>
        </is>
      </c>
      <c r="H17" s="24" t="n">
        <v>11500</v>
      </c>
      <c r="I17" s="24" t="n">
        <v>9775</v>
      </c>
      <c r="J17" s="15" t="n">
        <v>980</v>
      </c>
      <c r="K17" s="15" t="n">
        <v>1300</v>
      </c>
      <c r="L17" s="25">
        <f>I17/J17</f>
        <v/>
      </c>
      <c r="M17" s="16">
        <f>K17/J17</f>
        <v/>
      </c>
      <c r="N17" s="26">
        <f>(H17-I17)/H17</f>
        <v/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India</t>
        </is>
      </c>
      <c r="D18" s="27" t="inlineStr">
        <is>
          <t>India</t>
        </is>
      </c>
      <c r="E18" s="27" t="inlineStr">
        <is>
          <t>Delhi NCR</t>
        </is>
      </c>
      <c r="F18" s="28" t="inlineStr">
        <is>
          <t>Business Operations Center</t>
        </is>
      </c>
      <c r="G18" s="27" t="inlineStr">
        <is>
          <t>Leased</t>
        </is>
      </c>
      <c r="H18" s="29" t="n">
        <v>8800</v>
      </c>
      <c r="I18" s="29" t="n">
        <v>7480</v>
      </c>
      <c r="J18" s="30" t="n">
        <v>850</v>
      </c>
      <c r="K18" s="30" t="n">
        <v>920</v>
      </c>
      <c r="L18" s="31">
        <f>I18/J18</f>
        <v/>
      </c>
      <c r="M18" s="32">
        <f>K18/J18</f>
        <v/>
      </c>
      <c r="N18" s="33">
        <f>(H18-I18)/H18</f>
        <v/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Asia-Pacific</t>
        </is>
      </c>
      <c r="D19" s="23" t="inlineStr">
        <is>
          <t>Singapore</t>
        </is>
      </c>
      <c r="E19" s="23" t="inlineStr">
        <is>
          <t>Singapore</t>
        </is>
      </c>
      <c r="F19" s="14" t="inlineStr">
        <is>
          <t>Regional Headquarters</t>
        </is>
      </c>
      <c r="G19" s="23" t="inlineStr">
        <is>
          <t>Leased</t>
        </is>
      </c>
      <c r="H19" s="24" t="n">
        <v>6500</v>
      </c>
      <c r="I19" s="24" t="n">
        <v>5400</v>
      </c>
      <c r="J19" s="15" t="n">
        <v>480</v>
      </c>
      <c r="K19" s="15" t="n">
        <v>680</v>
      </c>
      <c r="L19" s="25">
        <f>I19/J19</f>
        <v/>
      </c>
      <c r="M19" s="16">
        <f>K19/J19</f>
        <v/>
      </c>
      <c r="N19" s="26">
        <f>(H19-I19)/H19</f>
        <v/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Asia-Pacific</t>
        </is>
      </c>
      <c r="D20" s="27" t="inlineStr">
        <is>
          <t>Singapore</t>
        </is>
      </c>
      <c r="E20" s="27" t="inlineStr">
        <is>
          <t>Singapore</t>
        </is>
      </c>
      <c r="F20" s="28" t="inlineStr">
        <is>
          <t>Technology &amp; Engineering Campus</t>
        </is>
      </c>
      <c r="G20" s="27" t="inlineStr">
        <is>
          <t>Leased</t>
        </is>
      </c>
      <c r="H20" s="29" t="n">
        <v>5800</v>
      </c>
      <c r="I20" s="29" t="n">
        <v>4900</v>
      </c>
      <c r="J20" s="30" t="n">
        <v>520</v>
      </c>
      <c r="K20" s="30" t="n">
        <v>650</v>
      </c>
      <c r="L20" s="31">
        <f>I20/J20</f>
        <v/>
      </c>
      <c r="M20" s="32">
        <f>K20/J20</f>
        <v/>
      </c>
      <c r="N20" s="33">
        <f>(H20-I20)/H20</f>
        <v/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Asia-Pacific</t>
        </is>
      </c>
      <c r="D21" s="23" t="inlineStr">
        <is>
          <t>Malaysia</t>
        </is>
      </c>
      <c r="E21" s="23" t="inlineStr">
        <is>
          <t>Kuala Lumpur</t>
        </is>
      </c>
      <c r="F21" s="14" t="inlineStr">
        <is>
          <t>Regional Headquarters</t>
        </is>
      </c>
      <c r="G21" s="23" t="inlineStr">
        <is>
          <t>Leased</t>
        </is>
      </c>
      <c r="H21" s="24" t="n">
        <v>5200</v>
      </c>
      <c r="I21" s="24" t="n">
        <v>4350</v>
      </c>
      <c r="J21" s="15" t="n">
        <v>420</v>
      </c>
      <c r="K21" s="15" t="n">
        <v>530</v>
      </c>
      <c r="L21" s="25">
        <f>I21/J21</f>
        <v/>
      </c>
      <c r="M21" s="16">
        <f>K21/J21</f>
        <v/>
      </c>
      <c r="N21" s="26">
        <f>(H21-I21)/H21</f>
        <v/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Asia-Pacific</t>
        </is>
      </c>
      <c r="D22" s="27" t="inlineStr">
        <is>
          <t>Malaysia</t>
        </is>
      </c>
      <c r="E22" s="27" t="inlineStr">
        <is>
          <t>Kuala Lumpur</t>
        </is>
      </c>
      <c r="F22" s="28" t="inlineStr">
        <is>
          <t>Business Operations Center</t>
        </is>
      </c>
      <c r="G22" s="27" t="inlineStr">
        <is>
          <t>Leased</t>
        </is>
      </c>
      <c r="H22" s="29" t="n">
        <v>7800</v>
      </c>
      <c r="I22" s="29" t="n">
        <v>6630</v>
      </c>
      <c r="J22" s="30" t="n">
        <v>780</v>
      </c>
      <c r="K22" s="30" t="n">
        <v>890</v>
      </c>
      <c r="L22" s="31">
        <f>I22/J22</f>
        <v/>
      </c>
      <c r="M22" s="32">
        <f>K22/J22</f>
        <v/>
      </c>
      <c r="N22" s="33">
        <f>(H22-I22)/H22</f>
        <v/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Asia-Pacific</t>
        </is>
      </c>
      <c r="D23" s="23" t="inlineStr">
        <is>
          <t>Thailand</t>
        </is>
      </c>
      <c r="E23" s="23" t="inlineStr">
        <is>
          <t>Bangkok</t>
        </is>
      </c>
      <c r="F23" s="14" t="inlineStr">
        <is>
          <t>Regional Sales &amp; Client Office</t>
        </is>
      </c>
      <c r="G23" s="23" t="inlineStr">
        <is>
          <t>Leased</t>
        </is>
      </c>
      <c r="H23" s="24" t="n">
        <v>4200</v>
      </c>
      <c r="I23" s="24" t="n">
        <v>3500</v>
      </c>
      <c r="J23" s="15" t="n">
        <v>320</v>
      </c>
      <c r="K23" s="15" t="n">
        <v>420</v>
      </c>
      <c r="L23" s="25">
        <f>I23/J23</f>
        <v/>
      </c>
      <c r="M23" s="16">
        <f>K23/J23</f>
        <v/>
      </c>
      <c r="N23" s="26">
        <f>(H23-I23)/H23</f>
        <v/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Asia-Pacific</t>
        </is>
      </c>
      <c r="D24" s="27" t="inlineStr">
        <is>
          <t>Thailand</t>
        </is>
      </c>
      <c r="E24" s="27" t="inlineStr">
        <is>
          <t>Bangkok</t>
        </is>
      </c>
      <c r="F24" s="28" t="inlineStr">
        <is>
          <t>Business Operations Center</t>
        </is>
      </c>
      <c r="G24" s="27" t="inlineStr">
        <is>
          <t>Leased</t>
        </is>
      </c>
      <c r="H24" s="29" t="n">
        <v>6000</v>
      </c>
      <c r="I24" s="29" t="n">
        <v>5100</v>
      </c>
      <c r="J24" s="30" t="n">
        <v>580</v>
      </c>
      <c r="K24" s="30" t="n">
        <v>640</v>
      </c>
      <c r="L24" s="31">
        <f>I24/J24</f>
        <v/>
      </c>
      <c r="M24" s="32">
        <f>K24/J24</f>
        <v/>
      </c>
      <c r="N24" s="33">
        <f>(H24-I24)/H24</f>
        <v/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Asia-Pacific</t>
        </is>
      </c>
      <c r="D25" s="23" t="inlineStr">
        <is>
          <t>Indonesia</t>
        </is>
      </c>
      <c r="E25" s="23" t="inlineStr">
        <is>
          <t>Jakarta</t>
        </is>
      </c>
      <c r="F25" s="14" t="inlineStr">
        <is>
          <t>Regional Sales &amp; Client Office</t>
        </is>
      </c>
      <c r="G25" s="23" t="inlineStr">
        <is>
          <t>Leased</t>
        </is>
      </c>
      <c r="H25" s="24" t="n">
        <v>4800</v>
      </c>
      <c r="I25" s="24" t="n">
        <v>4050</v>
      </c>
      <c r="J25" s="15" t="n">
        <v>380</v>
      </c>
      <c r="K25" s="15" t="n">
        <v>510</v>
      </c>
      <c r="L25" s="25">
        <f>I25/J25</f>
        <v/>
      </c>
      <c r="M25" s="16">
        <f>K25/J25</f>
        <v/>
      </c>
      <c r="N25" s="26">
        <f>(H25-I25)/H25</f>
        <v/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Asia-Pacific</t>
        </is>
      </c>
      <c r="D26" s="27" t="inlineStr">
        <is>
          <t>Indonesia</t>
        </is>
      </c>
      <c r="E26" s="27" t="inlineStr">
        <is>
          <t>Jakarta</t>
        </is>
      </c>
      <c r="F26" s="28" t="inlineStr">
        <is>
          <t>Business Operations Center</t>
        </is>
      </c>
      <c r="G26" s="27" t="inlineStr">
        <is>
          <t>Leased</t>
        </is>
      </c>
      <c r="H26" s="29" t="n">
        <v>7200</v>
      </c>
      <c r="I26" s="29" t="n">
        <v>6120</v>
      </c>
      <c r="J26" s="30" t="n">
        <v>700</v>
      </c>
      <c r="K26" s="30" t="n">
        <v>780</v>
      </c>
      <c r="L26" s="31">
        <f>I26/J26</f>
        <v/>
      </c>
      <c r="M26" s="32">
        <f>K26/J26</f>
        <v/>
      </c>
      <c r="N26" s="33">
        <f>(H26-I26)/H26</f>
        <v/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Asia-Pacific</t>
        </is>
      </c>
      <c r="D27" s="23" t="inlineStr">
        <is>
          <t>Australia</t>
        </is>
      </c>
      <c r="E27" s="23" t="inlineStr">
        <is>
          <t>Sydney</t>
        </is>
      </c>
      <c r="F27" s="14" t="inlineStr">
        <is>
          <t>Regional Headquarters</t>
        </is>
      </c>
      <c r="G27" s="23" t="inlineStr">
        <is>
          <t>Leased</t>
        </is>
      </c>
      <c r="H27" s="24" t="n">
        <v>6800</v>
      </c>
      <c r="I27" s="24" t="n">
        <v>5650</v>
      </c>
      <c r="J27" s="15" t="n">
        <v>510</v>
      </c>
      <c r="K27" s="15" t="n">
        <v>690</v>
      </c>
      <c r="L27" s="25">
        <f>I27/J27</f>
        <v/>
      </c>
      <c r="M27" s="16">
        <f>K27/J27</f>
        <v/>
      </c>
      <c r="N27" s="26">
        <f>(H27-I27)/H27</f>
        <v/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Asia-Pacific</t>
        </is>
      </c>
      <c r="D28" s="27" t="inlineStr">
        <is>
          <t>Australia</t>
        </is>
      </c>
      <c r="E28" s="27" t="inlineStr">
        <is>
          <t>Sydney</t>
        </is>
      </c>
      <c r="F28" s="28" t="inlineStr">
        <is>
          <t>Technology &amp; Engineering Campus</t>
        </is>
      </c>
      <c r="G28" s="27" t="inlineStr">
        <is>
          <t>Leased</t>
        </is>
      </c>
      <c r="H28" s="29" t="n">
        <v>5500</v>
      </c>
      <c r="I28" s="29" t="n">
        <v>4650</v>
      </c>
      <c r="J28" s="30" t="n">
        <v>480</v>
      </c>
      <c r="K28" s="30" t="n">
        <v>580</v>
      </c>
      <c r="L28" s="31">
        <f>I28/J28</f>
        <v/>
      </c>
      <c r="M28" s="32">
        <f>K28/J28</f>
        <v/>
      </c>
      <c r="N28" s="33">
        <f>(H28-I28)/H28</f>
        <v/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India</t>
        </is>
      </c>
      <c r="D29" s="23" t="inlineStr">
        <is>
          <t>India</t>
        </is>
      </c>
      <c r="E29" s="23" t="inlineStr">
        <is>
          <t>Pune</t>
        </is>
      </c>
      <c r="F29" s="14" t="inlineStr">
        <is>
          <t>Regional Sales &amp; Client Office</t>
        </is>
      </c>
      <c r="G29" s="23" t="inlineStr">
        <is>
          <t>Leased</t>
        </is>
      </c>
      <c r="H29" s="24" t="n">
        <v>3800</v>
      </c>
      <c r="I29" s="24" t="n">
        <v>3200</v>
      </c>
      <c r="J29" s="15" t="n">
        <v>310</v>
      </c>
      <c r="K29" s="15" t="n">
        <v>390</v>
      </c>
      <c r="L29" s="25">
        <f>I29/J29</f>
        <v/>
      </c>
      <c r="M29" s="16">
        <f>K29/J29</f>
        <v/>
      </c>
      <c r="N29" s="26">
        <f>(H29-I29)/H29</f>
        <v/>
      </c>
    </row>
    <row r="30">
      <c r="A30" s="18" t="inlineStr">
        <is>
          <t>Portfolio Total / Average</t>
        </is>
      </c>
      <c r="B30" s="18" t="n"/>
      <c r="C30" s="18" t="n"/>
      <c r="D30" s="18" t="n"/>
      <c r="E30" s="18" t="n"/>
      <c r="F30" s="18" t="n"/>
      <c r="G30" s="18" t="n"/>
      <c r="H30" s="34">
        <f>SUM(H5:H29)</f>
        <v/>
      </c>
      <c r="I30" s="34">
        <f>SUM(I5:I29)</f>
        <v/>
      </c>
      <c r="J30" s="19">
        <f>SUM(J5:J29)</f>
        <v/>
      </c>
      <c r="K30" s="19">
        <f>SUM(K5:K29)</f>
        <v/>
      </c>
      <c r="L30" s="35">
        <f>I30/J30</f>
        <v/>
      </c>
      <c r="M30" s="20">
        <f>K30/J30</f>
        <v/>
      </c>
      <c r="N30" s="36">
        <f>(H30-I30)/H30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9" customWidth="1" min="4" max="4"/>
    <col width="21" customWidth="1" min="5" max="5"/>
    <col width="15" customWidth="1" min="6" max="6"/>
    <col width="24" customWidth="1" min="7" max="7"/>
    <col width="21" customWidth="1" min="8" max="8"/>
    <col width="22" customWidth="1" min="9" max="9"/>
    <col width="23" customWidth="1" min="10" max="10"/>
    <col width="22" customWidth="1" min="11" max="11"/>
    <col width="22" customWidth="1" min="12" max="12"/>
  </cols>
  <sheetData>
    <row r="1"/>
    <row r="2">
      <c r="A2" s="1" t="inlineStr">
        <is>
          <t>WORKPLACE UTILIZATION &amp; OCCUPANCY PERFORMANCE</t>
        </is>
      </c>
    </row>
    <row r="3">
      <c r="A3" s="2" t="inlineStr">
        <is>
          <t>Daily presence, average utilization, peak rates, and capacity pressure choke points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Capacity (Seats)</t>
        </is>
      </c>
      <c r="E4" s="13" t="inlineStr">
        <is>
          <t>Avg Daily Presence</t>
        </is>
      </c>
      <c r="F4" s="13" t="inlineStr">
        <is>
          <t>Vacant Seats</t>
        </is>
      </c>
      <c r="G4" s="13" t="inlineStr">
        <is>
          <t>Average Utilization %</t>
        </is>
      </c>
      <c r="H4" s="13" t="inlineStr">
        <is>
          <t>Peak Utilization %</t>
        </is>
      </c>
      <c r="I4" s="13" t="inlineStr">
        <is>
          <t>Peak-Average Spread</t>
        </is>
      </c>
      <c r="J4" s="13" t="inlineStr">
        <is>
          <t>Pressure Quadrant</t>
        </is>
      </c>
      <c r="K4" s="13" t="inlineStr">
        <is>
          <t>Days Under Pressure</t>
        </is>
      </c>
      <c r="L4" s="13" t="inlineStr">
        <is>
          <t>Capacity Pressure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15" t="n">
        <v>620</v>
      </c>
      <c r="E5" s="24" t="n">
        <v>359.6208333333333</v>
      </c>
      <c r="F5" s="15">
        <f>D5-E5</f>
        <v/>
      </c>
      <c r="G5" s="25" t="n">
        <v>58.77</v>
      </c>
      <c r="H5" s="25" t="n">
        <v>78.89</v>
      </c>
      <c r="I5" s="25">
        <f>H5-G5</f>
        <v/>
      </c>
      <c r="J5" s="23" t="inlineStr">
        <is>
          <t>Consistently active</t>
        </is>
      </c>
      <c r="K5" s="15" t="n">
        <v>3988</v>
      </c>
      <c r="L5" s="25" t="n">
        <v>794.42</v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30" t="n">
        <v>340</v>
      </c>
      <c r="E6" s="29" t="n">
        <v>150.1875</v>
      </c>
      <c r="F6" s="30">
        <f>D6-E6</f>
        <v/>
      </c>
      <c r="G6" s="31" t="n">
        <v>44.61</v>
      </c>
      <c r="H6" s="31" t="n">
        <v>64.79000000000001</v>
      </c>
      <c r="I6" s="31">
        <f>H6-G6</f>
        <v/>
      </c>
      <c r="J6" s="27" t="inlineStr">
        <is>
          <t>Underutilized</t>
        </is>
      </c>
      <c r="K6" s="30" t="n">
        <v>413</v>
      </c>
      <c r="L6" s="31" t="n">
        <v>82.27</v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15" t="n">
        <v>1250</v>
      </c>
      <c r="E7" s="24" t="n">
        <v>893.8249999999999</v>
      </c>
      <c r="F7" s="15">
        <f>D7-E7</f>
        <v/>
      </c>
      <c r="G7" s="25" t="n">
        <v>72.92</v>
      </c>
      <c r="H7" s="25" t="n">
        <v>84.54000000000001</v>
      </c>
      <c r="I7" s="25">
        <f>H7-G7</f>
        <v/>
      </c>
      <c r="J7" s="23" t="inlineStr">
        <is>
          <t>Capacity-constrained</t>
        </is>
      </c>
      <c r="K7" s="15" t="n">
        <v>5505</v>
      </c>
      <c r="L7" s="25" t="n">
        <v>1096.61</v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30" t="n">
        <v>1720</v>
      </c>
      <c r="E8" s="29" t="n">
        <v>1122.05</v>
      </c>
      <c r="F8" s="30">
        <f>D8-E8</f>
        <v/>
      </c>
      <c r="G8" s="31" t="n">
        <v>65.88</v>
      </c>
      <c r="H8" s="31" t="n">
        <v>83.3</v>
      </c>
      <c r="I8" s="31">
        <f>H8-G8</f>
        <v/>
      </c>
      <c r="J8" s="27" t="inlineStr">
        <is>
          <t>Capacity-constrained</t>
        </is>
      </c>
      <c r="K8" s="30" t="n">
        <v>7108</v>
      </c>
      <c r="L8" s="31" t="n">
        <v>1415.94</v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15" t="n">
        <v>950</v>
      </c>
      <c r="E9" s="24" t="n">
        <v>360.8333333333333</v>
      </c>
      <c r="F9" s="15">
        <f>D9-E9</f>
        <v/>
      </c>
      <c r="G9" s="25" t="n">
        <v>38.52</v>
      </c>
      <c r="H9" s="25" t="n">
        <v>48.17</v>
      </c>
      <c r="I9" s="25">
        <f>H9-G9</f>
        <v/>
      </c>
      <c r="J9" s="23" t="inlineStr">
        <is>
          <t>Underutilized</t>
        </is>
      </c>
      <c r="K9" s="15" t="n">
        <v>1</v>
      </c>
      <c r="L9" s="25" t="n">
        <v>0.2</v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30" t="n">
        <v>1980</v>
      </c>
      <c r="E10" s="29" t="n">
        <v>1462.041666666667</v>
      </c>
      <c r="F10" s="30">
        <f>D10-E10</f>
        <v/>
      </c>
      <c r="G10" s="31" t="n">
        <v>74.95999999999999</v>
      </c>
      <c r="H10" s="31" t="n">
        <v>88.73999999999999</v>
      </c>
      <c r="I10" s="31">
        <f>H10-G10</f>
        <v/>
      </c>
      <c r="J10" s="27" t="inlineStr">
        <is>
          <t>Capacity-constrained</t>
        </is>
      </c>
      <c r="K10" s="30" t="n">
        <v>9513</v>
      </c>
      <c r="L10" s="31" t="n">
        <v>1895.02</v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15" t="n">
        <v>1320</v>
      </c>
      <c r="E11" s="24" t="n">
        <v>908.9416666666666</v>
      </c>
      <c r="F11" s="15">
        <f>D11-E11</f>
        <v/>
      </c>
      <c r="G11" s="25" t="n">
        <v>69.89</v>
      </c>
      <c r="H11" s="25" t="n">
        <v>85.26000000000001</v>
      </c>
      <c r="I11" s="25">
        <f>H11-G11</f>
        <v/>
      </c>
      <c r="J11" s="23" t="inlineStr">
        <is>
          <t>Capacity-constrained</t>
        </is>
      </c>
      <c r="K11" s="15" t="n">
        <v>5574</v>
      </c>
      <c r="L11" s="25" t="n">
        <v>1110.36</v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30" t="n">
        <v>1100</v>
      </c>
      <c r="E12" s="29" t="n">
        <v>542.4583333333334</v>
      </c>
      <c r="F12" s="30">
        <f>D12-E12</f>
        <v/>
      </c>
      <c r="G12" s="31" t="n">
        <v>49.61</v>
      </c>
      <c r="H12" s="31" t="n">
        <v>62.05</v>
      </c>
      <c r="I12" s="31">
        <f>H12-G12</f>
        <v/>
      </c>
      <c r="J12" s="27" t="inlineStr">
        <is>
          <t>Underutilized</t>
        </is>
      </c>
      <c r="K12" s="30" t="n">
        <v>152</v>
      </c>
      <c r="L12" s="31" t="n">
        <v>30.28</v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15" t="n">
        <v>1280</v>
      </c>
      <c r="E13" s="24" t="n">
        <v>792.0749999999999</v>
      </c>
      <c r="F13" s="15">
        <f>D13-E13</f>
        <v/>
      </c>
      <c r="G13" s="25" t="n">
        <v>62.8</v>
      </c>
      <c r="H13" s="25" t="n">
        <v>80.59999999999999</v>
      </c>
      <c r="I13" s="25">
        <f>H13-G13</f>
        <v/>
      </c>
      <c r="J13" s="23" t="inlineStr">
        <is>
          <t>Capacity-constrained</t>
        </is>
      </c>
      <c r="K13" s="15" t="n">
        <v>4972</v>
      </c>
      <c r="L13" s="25" t="n">
        <v>990.4400000000001</v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30" t="n">
        <v>750</v>
      </c>
      <c r="E14" s="29" t="n">
        <v>315.7083333333333</v>
      </c>
      <c r="F14" s="30">
        <f>D14-E14</f>
        <v/>
      </c>
      <c r="G14" s="31" t="n">
        <v>42.59</v>
      </c>
      <c r="H14" s="31" t="n">
        <v>52.06</v>
      </c>
      <c r="I14" s="31">
        <f>H14-G14</f>
        <v/>
      </c>
      <c r="J14" s="27" t="inlineStr">
        <is>
          <t>Underutilized</t>
        </is>
      </c>
      <c r="K14" s="30" t="n">
        <v>1</v>
      </c>
      <c r="L14" s="31" t="n">
        <v>0.2</v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15" t="n">
        <v>1500</v>
      </c>
      <c r="E15" s="24" t="n">
        <v>1058.725</v>
      </c>
      <c r="F15" s="15">
        <f>D15-E15</f>
        <v/>
      </c>
      <c r="G15" s="25" t="n">
        <v>70.91</v>
      </c>
      <c r="H15" s="25" t="n">
        <v>86.56999999999999</v>
      </c>
      <c r="I15" s="25">
        <f>H15-G15</f>
        <v/>
      </c>
      <c r="J15" s="23" t="inlineStr">
        <is>
          <t>Capacity-constrained</t>
        </is>
      </c>
      <c r="K15" s="15" t="n">
        <v>6769</v>
      </c>
      <c r="L15" s="25" t="n">
        <v>1348.41</v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30" t="n">
        <v>420</v>
      </c>
      <c r="E16" s="29" t="n">
        <v>222.6083333333333</v>
      </c>
      <c r="F16" s="30">
        <f>D16-E16</f>
        <v/>
      </c>
      <c r="G16" s="31" t="n">
        <v>53.73</v>
      </c>
      <c r="H16" s="31" t="n">
        <v>75.03</v>
      </c>
      <c r="I16" s="31">
        <f>H16-G16</f>
        <v/>
      </c>
      <c r="J16" s="27" t="inlineStr">
        <is>
          <t>Underutilized</t>
        </is>
      </c>
      <c r="K16" s="30" t="n">
        <v>1801</v>
      </c>
      <c r="L16" s="31" t="n">
        <v>358.76</v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15" t="n">
        <v>980</v>
      </c>
      <c r="E17" s="24" t="n">
        <v>616.3958333333334</v>
      </c>
      <c r="F17" s="15">
        <f>D17-E17</f>
        <v/>
      </c>
      <c r="G17" s="25" t="n">
        <v>63.81</v>
      </c>
      <c r="H17" s="25" t="n">
        <v>83.86</v>
      </c>
      <c r="I17" s="25">
        <f>H17-G17</f>
        <v/>
      </c>
      <c r="J17" s="23" t="inlineStr">
        <is>
          <t>Capacity-constrained</t>
        </is>
      </c>
      <c r="K17" s="15" t="n">
        <v>5354</v>
      </c>
      <c r="L17" s="25" t="n">
        <v>1066.53</v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30" t="n">
        <v>850</v>
      </c>
      <c r="E18" s="29" t="n">
        <v>392.9583333333333</v>
      </c>
      <c r="F18" s="30">
        <f>D18-E18</f>
        <v/>
      </c>
      <c r="G18" s="31" t="n">
        <v>46.69</v>
      </c>
      <c r="H18" s="31" t="n">
        <v>57.93</v>
      </c>
      <c r="I18" s="31">
        <f>H18-G18</f>
        <v/>
      </c>
      <c r="J18" s="27" t="inlineStr">
        <is>
          <t>Underutilized</t>
        </is>
      </c>
      <c r="K18" s="30" t="n">
        <v>21</v>
      </c>
      <c r="L18" s="31" t="n">
        <v>4.18</v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15" t="n">
        <v>480</v>
      </c>
      <c r="E19" s="24" t="n">
        <v>340.5583333333333</v>
      </c>
      <c r="F19" s="15">
        <f>D19-E19</f>
        <v/>
      </c>
      <c r="G19" s="25" t="n">
        <v>71.92</v>
      </c>
      <c r="H19" s="25" t="n">
        <v>87.38</v>
      </c>
      <c r="I19" s="25">
        <f>H19-G19</f>
        <v/>
      </c>
      <c r="J19" s="23" t="inlineStr">
        <is>
          <t>Capacity-constrained</t>
        </is>
      </c>
      <c r="K19" s="15" t="n">
        <v>4010</v>
      </c>
      <c r="L19" s="25" t="n">
        <v>798.8</v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30" t="n">
        <v>520</v>
      </c>
      <c r="E20" s="29" t="n">
        <v>306.5208333333333</v>
      </c>
      <c r="F20" s="30">
        <f>D20-E20</f>
        <v/>
      </c>
      <c r="G20" s="31" t="n">
        <v>59.9</v>
      </c>
      <c r="H20" s="31" t="n">
        <v>76.33</v>
      </c>
      <c r="I20" s="31">
        <f>H20-G20</f>
        <v/>
      </c>
      <c r="J20" s="27" t="inlineStr">
        <is>
          <t>Consistently active</t>
        </is>
      </c>
      <c r="K20" s="30" t="n">
        <v>1915</v>
      </c>
      <c r="L20" s="31" t="n">
        <v>381.47</v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15" t="n">
        <v>420</v>
      </c>
      <c r="E21" s="24" t="n">
        <v>230.8</v>
      </c>
      <c r="F21" s="15">
        <f>D21-E21</f>
        <v/>
      </c>
      <c r="G21" s="25" t="n">
        <v>55.76</v>
      </c>
      <c r="H21" s="25" t="n">
        <v>74.02</v>
      </c>
      <c r="I21" s="25">
        <f>H21-G21</f>
        <v/>
      </c>
      <c r="J21" s="23" t="inlineStr">
        <is>
          <t>Consistently active</t>
        </is>
      </c>
      <c r="K21" s="15" t="n">
        <v>1632</v>
      </c>
      <c r="L21" s="25" t="n">
        <v>325.1</v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30" t="n">
        <v>780</v>
      </c>
      <c r="E22" s="29" t="n">
        <v>373.7666666666667</v>
      </c>
      <c r="F22" s="30">
        <f>D22-E22</f>
        <v/>
      </c>
      <c r="G22" s="31" t="n">
        <v>48.59</v>
      </c>
      <c r="H22" s="31" t="n">
        <v>61.3</v>
      </c>
      <c r="I22" s="31">
        <f>H22-G22</f>
        <v/>
      </c>
      <c r="J22" s="27" t="inlineStr">
        <is>
          <t>Underutilized</t>
        </is>
      </c>
      <c r="K22" s="30" t="n">
        <v>124</v>
      </c>
      <c r="L22" s="31" t="n">
        <v>24.7</v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15" t="n">
        <v>320</v>
      </c>
      <c r="E23" s="24" t="n">
        <v>166.1291666666667</v>
      </c>
      <c r="F23" s="15">
        <f>D23-E23</f>
        <v/>
      </c>
      <c r="G23" s="25" t="n">
        <v>52.81</v>
      </c>
      <c r="H23" s="25" t="n">
        <v>74.92</v>
      </c>
      <c r="I23" s="25">
        <f>H23-G23</f>
        <v/>
      </c>
      <c r="J23" s="23" t="inlineStr">
        <is>
          <t>Underutilized</t>
        </is>
      </c>
      <c r="K23" s="15" t="n">
        <v>1135</v>
      </c>
      <c r="L23" s="25" t="n">
        <v>226.1</v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30" t="n">
        <v>580</v>
      </c>
      <c r="E24" s="29" t="n">
        <v>236.4083333333333</v>
      </c>
      <c r="F24" s="30">
        <f>D24-E24</f>
        <v/>
      </c>
      <c r="G24" s="31" t="n">
        <v>41.51</v>
      </c>
      <c r="H24" s="31" t="n">
        <v>50.73</v>
      </c>
      <c r="I24" s="31">
        <f>H24-G24</f>
        <v/>
      </c>
      <c r="J24" s="27" t="inlineStr">
        <is>
          <t>Underutilized</t>
        </is>
      </c>
      <c r="K24" s="30" t="n">
        <v>1</v>
      </c>
      <c r="L24" s="31" t="n">
        <v>0.2</v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15" t="n">
        <v>380</v>
      </c>
      <c r="E25" s="24" t="n">
        <v>228.6416666666667</v>
      </c>
      <c r="F25" s="15">
        <f>D25-E25</f>
        <v/>
      </c>
      <c r="G25" s="25" t="n">
        <v>60.82</v>
      </c>
      <c r="H25" s="25" t="n">
        <v>81.08</v>
      </c>
      <c r="I25" s="25">
        <f>H25-G25</f>
        <v/>
      </c>
      <c r="J25" s="23" t="inlineStr">
        <is>
          <t>Capacity-constrained</t>
        </is>
      </c>
      <c r="K25" s="15" t="n">
        <v>2538</v>
      </c>
      <c r="L25" s="25" t="n">
        <v>505.58</v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30" t="n">
        <v>700</v>
      </c>
      <c r="E26" s="29" t="n">
        <v>377.4541666666667</v>
      </c>
      <c r="F26" s="30">
        <f>D26-E26</f>
        <v/>
      </c>
      <c r="G26" s="31" t="n">
        <v>54.83</v>
      </c>
      <c r="H26" s="31" t="n">
        <v>68.45999999999999</v>
      </c>
      <c r="I26" s="31">
        <f>H26-G26</f>
        <v/>
      </c>
      <c r="J26" s="27" t="inlineStr">
        <is>
          <t>Underutilized</t>
        </is>
      </c>
      <c r="K26" s="30" t="n">
        <v>1139</v>
      </c>
      <c r="L26" s="31" t="n">
        <v>226.89</v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15" t="n">
        <v>510</v>
      </c>
      <c r="E27" s="24" t="n">
        <v>324.2125</v>
      </c>
      <c r="F27" s="15">
        <f>D27-E27</f>
        <v/>
      </c>
      <c r="G27" s="25" t="n">
        <v>64.84999999999999</v>
      </c>
      <c r="H27" s="25" t="n">
        <v>84.20999999999999</v>
      </c>
      <c r="I27" s="25">
        <f>H27-G27</f>
        <v/>
      </c>
      <c r="J27" s="23" t="inlineStr">
        <is>
          <t>Capacity-constrained</t>
        </is>
      </c>
      <c r="K27" s="15" t="n">
        <v>3643</v>
      </c>
      <c r="L27" s="25" t="n">
        <v>725.7</v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30" t="n">
        <v>480</v>
      </c>
      <c r="E28" s="29" t="n">
        <v>267.1875</v>
      </c>
      <c r="F28" s="30">
        <f>D28-E28</f>
        <v/>
      </c>
      <c r="G28" s="31" t="n">
        <v>56.78</v>
      </c>
      <c r="H28" s="31" t="n">
        <v>73.18000000000001</v>
      </c>
      <c r="I28" s="31">
        <f>H28-G28</f>
        <v/>
      </c>
      <c r="J28" s="27" t="inlineStr">
        <is>
          <t>Consistently active</t>
        </is>
      </c>
      <c r="K28" s="30" t="n">
        <v>1439</v>
      </c>
      <c r="L28" s="31" t="n">
        <v>286.65</v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15" t="n">
        <v>310</v>
      </c>
      <c r="E29" s="24" t="n">
        <v>145.9666666666667</v>
      </c>
      <c r="F29" s="15">
        <f>D29-E29</f>
        <v/>
      </c>
      <c r="G29" s="25" t="n">
        <v>47.59</v>
      </c>
      <c r="H29" s="25" t="n">
        <v>65.65000000000001</v>
      </c>
      <c r="I29" s="25">
        <f>H29-G29</f>
        <v/>
      </c>
      <c r="J29" s="23" t="inlineStr">
        <is>
          <t>Underutilized</t>
        </is>
      </c>
      <c r="K29" s="15" t="n">
        <v>246</v>
      </c>
      <c r="L29" s="25" t="n">
        <v>49</v>
      </c>
    </row>
    <row r="30">
      <c r="A30" s="18" t="inlineStr">
        <is>
          <t>Portfolio Summary</t>
        </is>
      </c>
      <c r="B30" s="18" t="n"/>
      <c r="C30" s="18" t="n"/>
      <c r="D30" s="19">
        <f>SUM(D5:D29)</f>
        <v/>
      </c>
      <c r="E30" s="34">
        <f>SUM(E5:E29)</f>
        <v/>
      </c>
      <c r="F30" s="19">
        <f>D30-E30</f>
        <v/>
      </c>
      <c r="G30" s="35">
        <f>(E30/D30)*100</f>
        <v/>
      </c>
      <c r="H30" s="35">
        <f>AVERAGE(H5:H29)</f>
        <v/>
      </c>
      <c r="I30" s="35">
        <f>H30-G30</f>
        <v/>
      </c>
      <c r="J30" s="18" t="n"/>
      <c r="K30" s="19">
        <f>SUM(K5:K29)</f>
        <v/>
      </c>
      <c r="L30" s="35">
        <f>AVERAGE(L5:L29)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7" customWidth="1" min="4" max="4"/>
    <col width="30" customWidth="1" min="5" max="5"/>
    <col width="27" customWidth="1" min="6" max="6"/>
    <col width="32" customWidth="1" min="7" max="7"/>
    <col width="31" customWidth="1" min="8" max="8"/>
    <col width="33" customWidth="1" min="9" max="9"/>
    <col width="28" customWidth="1" min="10" max="10"/>
  </cols>
  <sheetData>
    <row r="1"/>
    <row r="2">
      <c r="A2" s="1" t="inlineStr">
        <is>
          <t>OCCUPANCY COST &amp; FINANCIAL EFFICIENCY</t>
        </is>
      </c>
    </row>
    <row r="3">
      <c r="A3" s="2" t="inlineStr">
        <is>
          <t>Operating expenses, cost per usable area, cost per seat, and vacant seat penalty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Local Currency</t>
        </is>
      </c>
      <c r="E4" s="13" t="inlineStr">
        <is>
          <t>Annual Operating Cost (INR)</t>
        </is>
      </c>
      <c r="F4" s="13" t="inlineStr">
        <is>
          <t>Cost per Usable m² (INR)</t>
        </is>
      </c>
      <c r="G4" s="13" t="inlineStr">
        <is>
          <t>Cost per Available Seat (INR)</t>
        </is>
      </c>
      <c r="H4" s="13" t="inlineStr">
        <is>
          <t>Cost per Occupied Seat (INR)</t>
        </is>
      </c>
      <c r="I4" s="13" t="inlineStr">
        <is>
          <t>Utilization Cost Premium (INR)</t>
        </is>
      </c>
      <c r="J4" s="13" t="inlineStr">
        <is>
          <t>Inefficiency Multiplier %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23" t="inlineStr">
        <is>
          <t>INR</t>
        </is>
      </c>
      <c r="E5" s="17" t="n">
        <v>261713044.58</v>
      </c>
      <c r="F5" s="17">
        <f>E5/'Property Register'!I5</f>
        <v/>
      </c>
      <c r="G5" s="17">
        <f>E5/'Property Register'!J5</f>
        <v/>
      </c>
      <c r="H5" s="17">
        <f>E5/'Occupancy Analysis'!E5</f>
        <v/>
      </c>
      <c r="I5" s="17">
        <f>H5-G5</f>
        <v/>
      </c>
      <c r="J5" s="26">
        <f>I5/G5</f>
        <v/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27" t="inlineStr">
        <is>
          <t>INR</t>
        </is>
      </c>
      <c r="E6" s="37" t="n">
        <v>159908731.92</v>
      </c>
      <c r="F6" s="37">
        <f>E6/'Property Register'!I6</f>
        <v/>
      </c>
      <c r="G6" s="37">
        <f>E6/'Property Register'!J6</f>
        <v/>
      </c>
      <c r="H6" s="37">
        <f>E6/'Occupancy Analysis'!E6</f>
        <v/>
      </c>
      <c r="I6" s="37">
        <f>H6-G6</f>
        <v/>
      </c>
      <c r="J6" s="33">
        <f>I6/G6</f>
        <v/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23" t="inlineStr">
        <is>
          <t>INR</t>
        </is>
      </c>
      <c r="E7" s="17" t="n">
        <v>249572592.64</v>
      </c>
      <c r="F7" s="17">
        <f>E7/'Property Register'!I7</f>
        <v/>
      </c>
      <c r="G7" s="17">
        <f>E7/'Property Register'!J7</f>
        <v/>
      </c>
      <c r="H7" s="17">
        <f>E7/'Occupancy Analysis'!E7</f>
        <v/>
      </c>
      <c r="I7" s="17">
        <f>H7-G7</f>
        <v/>
      </c>
      <c r="J7" s="26">
        <f>I7/G7</f>
        <v/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27" t="inlineStr">
        <is>
          <t>INR</t>
        </is>
      </c>
      <c r="E8" s="37" t="n">
        <v>84067305.36</v>
      </c>
      <c r="F8" s="37">
        <f>E8/'Property Register'!I8</f>
        <v/>
      </c>
      <c r="G8" s="37">
        <f>E8/'Property Register'!J8</f>
        <v/>
      </c>
      <c r="H8" s="37">
        <f>E8/'Occupancy Analysis'!E8</f>
        <v/>
      </c>
      <c r="I8" s="37">
        <f>H8-G8</f>
        <v/>
      </c>
      <c r="J8" s="33">
        <f>I8/G8</f>
        <v/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23" t="inlineStr">
        <is>
          <t>INR</t>
        </is>
      </c>
      <c r="E9" s="17" t="n">
        <v>117789678.74</v>
      </c>
      <c r="F9" s="17">
        <f>E9/'Property Register'!I9</f>
        <v/>
      </c>
      <c r="G9" s="17">
        <f>E9/'Property Register'!J9</f>
        <v/>
      </c>
      <c r="H9" s="17">
        <f>E9/'Occupancy Analysis'!E9</f>
        <v/>
      </c>
      <c r="I9" s="17">
        <f>H9-G9</f>
        <v/>
      </c>
      <c r="J9" s="26">
        <f>I9/G9</f>
        <v/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27" t="inlineStr">
        <is>
          <t>INR</t>
        </is>
      </c>
      <c r="E10" s="37" t="n">
        <v>344026845.36</v>
      </c>
      <c r="F10" s="37">
        <f>E10/'Property Register'!I10</f>
        <v/>
      </c>
      <c r="G10" s="37">
        <f>E10/'Property Register'!J10</f>
        <v/>
      </c>
      <c r="H10" s="37">
        <f>E10/'Occupancy Analysis'!E10</f>
        <v/>
      </c>
      <c r="I10" s="37">
        <f>H10-G10</f>
        <v/>
      </c>
      <c r="J10" s="33">
        <f>I10/G10</f>
        <v/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23" t="inlineStr">
        <is>
          <t>INR</t>
        </is>
      </c>
      <c r="E11" s="17" t="n">
        <v>244988123.37</v>
      </c>
      <c r="F11" s="17">
        <f>E11/'Property Register'!I11</f>
        <v/>
      </c>
      <c r="G11" s="17">
        <f>E11/'Property Register'!J11</f>
        <v/>
      </c>
      <c r="H11" s="17">
        <f>E11/'Occupancy Analysis'!E11</f>
        <v/>
      </c>
      <c r="I11" s="17">
        <f>H11-G11</f>
        <v/>
      </c>
      <c r="J11" s="26">
        <f>I11/G11</f>
        <v/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27" t="inlineStr">
        <is>
          <t>INR</t>
        </is>
      </c>
      <c r="E12" s="37" t="n">
        <v>49337327.25</v>
      </c>
      <c r="F12" s="37">
        <f>E12/'Property Register'!I12</f>
        <v/>
      </c>
      <c r="G12" s="37">
        <f>E12/'Property Register'!J12</f>
        <v/>
      </c>
      <c r="H12" s="37">
        <f>E12/'Occupancy Analysis'!E12</f>
        <v/>
      </c>
      <c r="I12" s="37">
        <f>H12-G12</f>
        <v/>
      </c>
      <c r="J12" s="33">
        <f>I12/G12</f>
        <v/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23" t="inlineStr">
        <is>
          <t>INR</t>
        </is>
      </c>
      <c r="E13" s="17" t="n">
        <v>188592408.1</v>
      </c>
      <c r="F13" s="17">
        <f>E13/'Property Register'!I13</f>
        <v/>
      </c>
      <c r="G13" s="17">
        <f>E13/'Property Register'!J13</f>
        <v/>
      </c>
      <c r="H13" s="17">
        <f>E13/'Occupancy Analysis'!E13</f>
        <v/>
      </c>
      <c r="I13" s="17">
        <f>H13-G13</f>
        <v/>
      </c>
      <c r="J13" s="26">
        <f>I13/G13</f>
        <v/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27" t="inlineStr">
        <is>
          <t>INR</t>
        </is>
      </c>
      <c r="E14" s="37" t="n">
        <v>99251511.14</v>
      </c>
      <c r="F14" s="37">
        <f>E14/'Property Register'!I14</f>
        <v/>
      </c>
      <c r="G14" s="37">
        <f>E14/'Property Register'!J14</f>
        <v/>
      </c>
      <c r="H14" s="37">
        <f>E14/'Occupancy Analysis'!E14</f>
        <v/>
      </c>
      <c r="I14" s="37">
        <f>H14-G14</f>
        <v/>
      </c>
      <c r="J14" s="33">
        <f>I14/G14</f>
        <v/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23" t="inlineStr">
        <is>
          <t>INR</t>
        </is>
      </c>
      <c r="E15" s="17" t="n">
        <v>243883184.89</v>
      </c>
      <c r="F15" s="17">
        <f>E15/'Property Register'!I15</f>
        <v/>
      </c>
      <c r="G15" s="17">
        <f>E15/'Property Register'!J15</f>
        <v/>
      </c>
      <c r="H15" s="17">
        <f>E15/'Occupancy Analysis'!E15</f>
        <v/>
      </c>
      <c r="I15" s="17">
        <f>H15-G15</f>
        <v/>
      </c>
      <c r="J15" s="26">
        <f>I15/G15</f>
        <v/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27" t="inlineStr">
        <is>
          <t>INR</t>
        </is>
      </c>
      <c r="E16" s="37" t="n">
        <v>85360488.48</v>
      </c>
      <c r="F16" s="37">
        <f>E16/'Property Register'!I16</f>
        <v/>
      </c>
      <c r="G16" s="37">
        <f>E16/'Property Register'!J16</f>
        <v/>
      </c>
      <c r="H16" s="37">
        <f>E16/'Occupancy Analysis'!E16</f>
        <v/>
      </c>
      <c r="I16" s="37">
        <f>H16-G16</f>
        <v/>
      </c>
      <c r="J16" s="33">
        <f>I16/G16</f>
        <v/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23" t="inlineStr">
        <is>
          <t>INR</t>
        </is>
      </c>
      <c r="E17" s="17" t="n">
        <v>250278615.8</v>
      </c>
      <c r="F17" s="17">
        <f>E17/'Property Register'!I17</f>
        <v/>
      </c>
      <c r="G17" s="17">
        <f>E17/'Property Register'!J17</f>
        <v/>
      </c>
      <c r="H17" s="17">
        <f>E17/'Occupancy Analysis'!E17</f>
        <v/>
      </c>
      <c r="I17" s="17">
        <f>H17-G17</f>
        <v/>
      </c>
      <c r="J17" s="26">
        <f>I17/G17</f>
        <v/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27" t="inlineStr">
        <is>
          <t>INR</t>
        </is>
      </c>
      <c r="E18" s="37" t="n">
        <v>115077359.43</v>
      </c>
      <c r="F18" s="37">
        <f>E18/'Property Register'!I18</f>
        <v/>
      </c>
      <c r="G18" s="37">
        <f>E18/'Property Register'!J18</f>
        <v/>
      </c>
      <c r="H18" s="37">
        <f>E18/'Occupancy Analysis'!E18</f>
        <v/>
      </c>
      <c r="I18" s="37">
        <f>H18-G18</f>
        <v/>
      </c>
      <c r="J18" s="33">
        <f>I18/G18</f>
        <v/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23" t="inlineStr">
        <is>
          <t>Local FX</t>
        </is>
      </c>
      <c r="E19" s="17" t="n">
        <v>886669387.76</v>
      </c>
      <c r="F19" s="17">
        <f>E19/'Property Register'!I19</f>
        <v/>
      </c>
      <c r="G19" s="17">
        <f>E19/'Property Register'!J19</f>
        <v/>
      </c>
      <c r="H19" s="17">
        <f>E19/'Occupancy Analysis'!E19</f>
        <v/>
      </c>
      <c r="I19" s="17">
        <f>H19-G19</f>
        <v/>
      </c>
      <c r="J19" s="26">
        <f>I19/G19</f>
        <v/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27" t="inlineStr">
        <is>
          <t>Local FX</t>
        </is>
      </c>
      <c r="E20" s="37" t="n">
        <v>453469821.42</v>
      </c>
      <c r="F20" s="37">
        <f>E20/'Property Register'!I20</f>
        <v/>
      </c>
      <c r="G20" s="37">
        <f>E20/'Property Register'!J20</f>
        <v/>
      </c>
      <c r="H20" s="37">
        <f>E20/'Occupancy Analysis'!E20</f>
        <v/>
      </c>
      <c r="I20" s="37">
        <f>H20-G20</f>
        <v/>
      </c>
      <c r="J20" s="33">
        <f>I20/G20</f>
        <v/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23" t="inlineStr">
        <is>
          <t>Local FX</t>
        </is>
      </c>
      <c r="E21" s="17" t="n">
        <v>122373704.28</v>
      </c>
      <c r="F21" s="17">
        <f>E21/'Property Register'!I21</f>
        <v/>
      </c>
      <c r="G21" s="17">
        <f>E21/'Property Register'!J21</f>
        <v/>
      </c>
      <c r="H21" s="17">
        <f>E21/'Occupancy Analysis'!E21</f>
        <v/>
      </c>
      <c r="I21" s="17">
        <f>H21-G21</f>
        <v/>
      </c>
      <c r="J21" s="26">
        <f>I21/G21</f>
        <v/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27" t="inlineStr">
        <is>
          <t>Local FX</t>
        </is>
      </c>
      <c r="E22" s="37" t="n">
        <v>146909678.63</v>
      </c>
      <c r="F22" s="37">
        <f>E22/'Property Register'!I22</f>
        <v/>
      </c>
      <c r="G22" s="37">
        <f>E22/'Property Register'!J22</f>
        <v/>
      </c>
      <c r="H22" s="37">
        <f>E22/'Occupancy Analysis'!E22</f>
        <v/>
      </c>
      <c r="I22" s="37">
        <f>H22-G22</f>
        <v/>
      </c>
      <c r="J22" s="33">
        <f>I22/G22</f>
        <v/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23" t="inlineStr">
        <is>
          <t>Local FX</t>
        </is>
      </c>
      <c r="E23" s="17" t="n">
        <v>140933615.1</v>
      </c>
      <c r="F23" s="17">
        <f>E23/'Property Register'!I23</f>
        <v/>
      </c>
      <c r="G23" s="17">
        <f>E23/'Property Register'!J23</f>
        <v/>
      </c>
      <c r="H23" s="17">
        <f>E23/'Occupancy Analysis'!E23</f>
        <v/>
      </c>
      <c r="I23" s="17">
        <f>H23-G23</f>
        <v/>
      </c>
      <c r="J23" s="26">
        <f>I23/G23</f>
        <v/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27" t="inlineStr">
        <is>
          <t>Local FX</t>
        </is>
      </c>
      <c r="E24" s="37" t="n">
        <v>161507881.4</v>
      </c>
      <c r="F24" s="37">
        <f>E24/'Property Register'!I24</f>
        <v/>
      </c>
      <c r="G24" s="37">
        <f>E24/'Property Register'!J24</f>
        <v/>
      </c>
      <c r="H24" s="37">
        <f>E24/'Occupancy Analysis'!E24</f>
        <v/>
      </c>
      <c r="I24" s="37">
        <f>H24-G24</f>
        <v/>
      </c>
      <c r="J24" s="33">
        <f>I24/G24</f>
        <v/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23" t="inlineStr">
        <is>
          <t>Local FX</t>
        </is>
      </c>
      <c r="E25" s="17" t="n">
        <v>128096611.96</v>
      </c>
      <c r="F25" s="17">
        <f>E25/'Property Register'!I25</f>
        <v/>
      </c>
      <c r="G25" s="17">
        <f>E25/'Property Register'!J25</f>
        <v/>
      </c>
      <c r="H25" s="17">
        <f>E25/'Occupancy Analysis'!E25</f>
        <v/>
      </c>
      <c r="I25" s="17">
        <f>H25-G25</f>
        <v/>
      </c>
      <c r="J25" s="26">
        <f>I25/G25</f>
        <v/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27" t="inlineStr">
        <is>
          <t>Local FX</t>
        </is>
      </c>
      <c r="E26" s="37" t="n">
        <v>167857147.04</v>
      </c>
      <c r="F26" s="37">
        <f>E26/'Property Register'!I26</f>
        <v/>
      </c>
      <c r="G26" s="37">
        <f>E26/'Property Register'!J26</f>
        <v/>
      </c>
      <c r="H26" s="37">
        <f>E26/'Occupancy Analysis'!E26</f>
        <v/>
      </c>
      <c r="I26" s="37">
        <f>H26-G26</f>
        <v/>
      </c>
      <c r="J26" s="33">
        <f>I26/G26</f>
        <v/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23" t="inlineStr">
        <is>
          <t>Local FX</t>
        </is>
      </c>
      <c r="E27" s="17" t="n">
        <v>777966545.01</v>
      </c>
      <c r="F27" s="17">
        <f>E27/'Property Register'!I27</f>
        <v/>
      </c>
      <c r="G27" s="17">
        <f>E27/'Property Register'!J27</f>
        <v/>
      </c>
      <c r="H27" s="17">
        <f>E27/'Occupancy Analysis'!E27</f>
        <v/>
      </c>
      <c r="I27" s="17">
        <f>H27-G27</f>
        <v/>
      </c>
      <c r="J27" s="26">
        <f>I27/G27</f>
        <v/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27" t="inlineStr">
        <is>
          <t>Local FX</t>
        </is>
      </c>
      <c r="E28" s="37" t="n">
        <v>444632722.78</v>
      </c>
      <c r="F28" s="37">
        <f>E28/'Property Register'!I28</f>
        <v/>
      </c>
      <c r="G28" s="37">
        <f>E28/'Property Register'!J28</f>
        <v/>
      </c>
      <c r="H28" s="37">
        <f>E28/'Occupancy Analysis'!E28</f>
        <v/>
      </c>
      <c r="I28" s="37">
        <f>H28-G28</f>
        <v/>
      </c>
      <c r="J28" s="33">
        <f>I28/G28</f>
        <v/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23" t="inlineStr">
        <is>
          <t>INR</t>
        </is>
      </c>
      <c r="E29" s="17" t="n">
        <v>50241566.02</v>
      </c>
      <c r="F29" s="17">
        <f>E29/'Property Register'!I29</f>
        <v/>
      </c>
      <c r="G29" s="17">
        <f>E29/'Property Register'!J29</f>
        <v/>
      </c>
      <c r="H29" s="17">
        <f>E29/'Occupancy Analysis'!E29</f>
        <v/>
      </c>
      <c r="I29" s="17">
        <f>H29-G29</f>
        <v/>
      </c>
      <c r="J29" s="26">
        <f>I29/G29</f>
        <v/>
      </c>
    </row>
    <row r="30">
      <c r="A30" s="18" t="inlineStr">
        <is>
          <t>Portfolio Summary</t>
        </is>
      </c>
      <c r="B30" s="18" t="n"/>
      <c r="C30" s="18" t="n"/>
      <c r="D30" s="18" t="n"/>
      <c r="E30" s="21">
        <f>SUM(E5:E29)</f>
        <v/>
      </c>
      <c r="F30" s="21">
        <f>E30/'Property Register'!I30</f>
        <v/>
      </c>
      <c r="G30" s="21">
        <f>E30/'Property Register'!J30</f>
        <v/>
      </c>
      <c r="H30" s="21">
        <f>E30/'Occupancy Analysis'!E30</f>
        <v/>
      </c>
      <c r="I30" s="21">
        <f>H30-G30</f>
        <v/>
      </c>
      <c r="J30" s="36">
        <f>I30/G30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15" customWidth="1" min="3" max="3"/>
    <col width="12" customWidth="1" min="4" max="4"/>
    <col width="18" customWidth="1" min="5" max="5"/>
    <col width="19" customWidth="1" min="6" max="6"/>
    <col width="17" customWidth="1" min="7" max="7"/>
    <col width="22" customWidth="1" min="8" max="8"/>
    <col width="20" customWidth="1" min="9" max="9"/>
    <col width="26" customWidth="1" min="10" max="10"/>
    <col width="21" customWidth="1" min="11" max="11"/>
  </cols>
  <sheetData>
    <row r="1"/>
    <row r="2">
      <c r="A2" s="1" t="inlineStr">
        <is>
          <t>LEASE TRACKER &amp; CRITICAL DECISION HORIZONS</t>
        </is>
      </c>
    </row>
    <row r="3">
      <c r="A3" s="2" t="inlineStr">
        <is>
          <t>Commercial lease commitments, critical expiry horizons, and notice obligations relative to 2026-09-30</t>
        </is>
      </c>
    </row>
    <row r="4">
      <c r="A4" s="13" t="inlineStr">
        <is>
          <t>Property Code</t>
        </is>
      </c>
      <c r="B4" s="13" t="inlineStr">
        <is>
          <t>Property Name</t>
        </is>
      </c>
      <c r="C4" s="13" t="inlineStr">
        <is>
          <t>City</t>
        </is>
      </c>
      <c r="D4" s="13" t="inlineStr">
        <is>
          <t>Ownership</t>
        </is>
      </c>
      <c r="E4" s="13" t="inlineStr">
        <is>
          <t>Lease Contract</t>
        </is>
      </c>
      <c r="F4" s="13" t="inlineStr">
        <is>
          <t>Lease Start Date</t>
        </is>
      </c>
      <c r="G4" s="13" t="inlineStr">
        <is>
          <t>Lease End Date</t>
        </is>
      </c>
      <c r="H4" s="13" t="inlineStr">
        <is>
          <t>Notice Period (Mos)</t>
        </is>
      </c>
      <c r="I4" s="13" t="inlineStr">
        <is>
          <t>Annual Rent (INR)</t>
        </is>
      </c>
      <c r="J4" s="13" t="inlineStr">
        <is>
          <t>Expiry Horizon Category</t>
        </is>
      </c>
      <c r="K4" s="13" t="inlineStr">
        <is>
          <t>Lease Status</t>
        </is>
      </c>
    </row>
    <row r="5">
      <c r="A5" s="23" t="inlineStr">
        <is>
          <t>PROP-BOM-01</t>
        </is>
      </c>
      <c r="B5" s="14" t="inlineStr">
        <is>
          <t>Nariman Point Business Centre</t>
        </is>
      </c>
      <c r="C5" s="23" t="inlineStr">
        <is>
          <t>Mumbai</t>
        </is>
      </c>
      <c r="D5" s="23" t="inlineStr">
        <is>
          <t>Leased</t>
        </is>
      </c>
      <c r="E5" s="23" t="inlineStr">
        <is>
          <t>LSE-BOM-01-2022</t>
        </is>
      </c>
      <c r="F5" s="23" t="inlineStr">
        <is>
          <t>2022-04-01</t>
        </is>
      </c>
      <c r="G5" s="23" t="inlineStr">
        <is>
          <t>2027-03-31</t>
        </is>
      </c>
      <c r="H5" s="38" t="n">
        <v>6</v>
      </c>
      <c r="I5" s="17" t="n">
        <v>204000000</v>
      </c>
      <c r="J5" s="23" t="inlineStr">
        <is>
          <t>Expiring &lt;= 6M</t>
        </is>
      </c>
      <c r="K5" s="23" t="inlineStr">
        <is>
          <t>Expiring Near-Term</t>
        </is>
      </c>
    </row>
    <row r="6">
      <c r="A6" s="27" t="inlineStr">
        <is>
          <t>PROP-BOM-02</t>
        </is>
      </c>
      <c r="B6" s="28" t="inlineStr">
        <is>
          <t>BKC Central Tower B</t>
        </is>
      </c>
      <c r="C6" s="27" t="inlineStr">
        <is>
          <t>Mumbai</t>
        </is>
      </c>
      <c r="D6" s="27" t="inlineStr">
        <is>
          <t>Leased</t>
        </is>
      </c>
      <c r="E6" s="27" t="inlineStr">
        <is>
          <t>LSE-BOM-02-2020</t>
        </is>
      </c>
      <c r="F6" s="27" t="inlineStr">
        <is>
          <t>2020-11-01</t>
        </is>
      </c>
      <c r="G6" s="27" t="inlineStr">
        <is>
          <t>2028-10-31</t>
        </is>
      </c>
      <c r="H6" s="39" t="n">
        <v>6</v>
      </c>
      <c r="I6" s="37" t="n">
        <v>126000000</v>
      </c>
      <c r="J6" s="27" t="inlineStr">
        <is>
          <t>Horizon &gt; 24M</t>
        </is>
      </c>
      <c r="K6" s="27" t="inlineStr">
        <is>
          <t>Active</t>
        </is>
      </c>
    </row>
    <row r="7">
      <c r="A7" s="23" t="inlineStr">
        <is>
          <t>PROP-BOM-03</t>
        </is>
      </c>
      <c r="B7" s="14" t="inlineStr">
        <is>
          <t>Powai Horizon Office Park</t>
        </is>
      </c>
      <c r="C7" s="23" t="inlineStr">
        <is>
          <t>Mumbai</t>
        </is>
      </c>
      <c r="D7" s="23" t="inlineStr">
        <is>
          <t>Leased</t>
        </is>
      </c>
      <c r="E7" s="23" t="inlineStr">
        <is>
          <t>LSE-BOM-03-2023</t>
        </is>
      </c>
      <c r="F7" s="23" t="inlineStr">
        <is>
          <t>2023-01-01</t>
        </is>
      </c>
      <c r="G7" s="23" t="inlineStr">
        <is>
          <t>2029-12-31</t>
        </is>
      </c>
      <c r="H7" s="38" t="n">
        <v>6</v>
      </c>
      <c r="I7" s="17" t="n">
        <v>178000000</v>
      </c>
      <c r="J7" s="23" t="inlineStr">
        <is>
          <t>Horizon &gt; 24M</t>
        </is>
      </c>
      <c r="K7" s="23" t="inlineStr">
        <is>
          <t>Active</t>
        </is>
      </c>
    </row>
    <row r="8">
      <c r="A8" s="27" t="inlineStr">
        <is>
          <t>PROP-PNQ-01</t>
        </is>
      </c>
      <c r="B8" s="28" t="inlineStr">
        <is>
          <t>Hinjawadi Tech Campus A</t>
        </is>
      </c>
      <c r="C8" s="27" t="inlineStr">
        <is>
          <t>Pune</t>
        </is>
      </c>
      <c r="D8" s="27" t="inlineStr">
        <is>
          <t>Owned</t>
        </is>
      </c>
      <c r="E8" s="27" t="inlineStr">
        <is>
          <t>LSE-PNQ-01-2016</t>
        </is>
      </c>
      <c r="F8" s="27" t="inlineStr">
        <is>
          <t>2016-01-01</t>
        </is>
      </c>
      <c r="G8" s="27" t="inlineStr">
        <is>
          <t>N/A (Owned)</t>
        </is>
      </c>
      <c r="H8" s="39" t="n">
        <v>0</v>
      </c>
      <c r="I8" s="37" t="n">
        <v>0</v>
      </c>
      <c r="J8" s="27" t="inlineStr">
        <is>
          <t>Owned</t>
        </is>
      </c>
      <c r="K8" s="27" t="inlineStr">
        <is>
          <t>Active (Owned)</t>
        </is>
      </c>
    </row>
    <row r="9">
      <c r="A9" s="23" t="inlineStr">
        <is>
          <t>PROP-PNQ-02</t>
        </is>
      </c>
      <c r="B9" s="14" t="inlineStr">
        <is>
          <t>Magarpatta Enterprise Park</t>
        </is>
      </c>
      <c r="C9" s="23" t="inlineStr">
        <is>
          <t>Pune</t>
        </is>
      </c>
      <c r="D9" s="23" t="inlineStr">
        <is>
          <t>Leased</t>
        </is>
      </c>
      <c r="E9" s="23" t="inlineStr">
        <is>
          <t>LSE-PNQ-02-2021</t>
        </is>
      </c>
      <c r="F9" s="23" t="inlineStr">
        <is>
          <t>2021-06-01</t>
        </is>
      </c>
      <c r="G9" s="23" t="inlineStr">
        <is>
          <t>2027-05-31</t>
        </is>
      </c>
      <c r="H9" s="38" t="n">
        <v>6</v>
      </c>
      <c r="I9" s="17" t="n">
        <v>74880000</v>
      </c>
      <c r="J9" s="23" t="inlineStr">
        <is>
          <t>Expiring 6-12M</t>
        </is>
      </c>
      <c r="K9" s="23" t="inlineStr">
        <is>
          <t>Active</t>
        </is>
      </c>
    </row>
    <row r="10">
      <c r="A10" s="27" t="inlineStr">
        <is>
          <t>PROP-BLR-01</t>
        </is>
      </c>
      <c r="B10" s="28" t="inlineStr">
        <is>
          <t>Whitefield Innovation Campus Tower 1</t>
        </is>
      </c>
      <c r="C10" s="27" t="inlineStr">
        <is>
          <t>Bengaluru</t>
        </is>
      </c>
      <c r="D10" s="27" t="inlineStr">
        <is>
          <t>Leased</t>
        </is>
      </c>
      <c r="E10" s="27" t="inlineStr">
        <is>
          <t>LSE-BLR-01-2021</t>
        </is>
      </c>
      <c r="F10" s="27" t="inlineStr">
        <is>
          <t>2021-10-01</t>
        </is>
      </c>
      <c r="G10" s="27" t="inlineStr">
        <is>
          <t>2027-09-30</t>
        </is>
      </c>
      <c r="H10" s="39" t="n">
        <v>6</v>
      </c>
      <c r="I10" s="37" t="n">
        <v>235620000</v>
      </c>
      <c r="J10" s="27" t="inlineStr">
        <is>
          <t>Expiring 6-12M</t>
        </is>
      </c>
      <c r="K10" s="27" t="inlineStr">
        <is>
          <t>Active</t>
        </is>
      </c>
    </row>
    <row r="11">
      <c r="A11" s="23" t="inlineStr">
        <is>
          <t>PROP-BLR-02</t>
        </is>
      </c>
      <c r="B11" s="14" t="inlineStr">
        <is>
          <t>Outer Ring Road Alpha Center</t>
        </is>
      </c>
      <c r="C11" s="23" t="inlineStr">
        <is>
          <t>Bengaluru</t>
        </is>
      </c>
      <c r="D11" s="23" t="inlineStr">
        <is>
          <t>Leased</t>
        </is>
      </c>
      <c r="E11" s="23" t="inlineStr">
        <is>
          <t>LSE-BLR-02-2021</t>
        </is>
      </c>
      <c r="F11" s="23" t="inlineStr">
        <is>
          <t>2021-03-01</t>
        </is>
      </c>
      <c r="G11" s="23" t="inlineStr">
        <is>
          <t>2028-02-29</t>
        </is>
      </c>
      <c r="H11" s="38" t="n">
        <v>6</v>
      </c>
      <c r="I11" s="17" t="n">
        <v>171360000</v>
      </c>
      <c r="J11" s="23" t="inlineStr">
        <is>
          <t>Expiring 12-24M</t>
        </is>
      </c>
      <c r="K11" s="23" t="inlineStr">
        <is>
          <t>Active</t>
        </is>
      </c>
    </row>
    <row r="12">
      <c r="A12" s="27" t="inlineStr">
        <is>
          <t>PROP-BLR-03</t>
        </is>
      </c>
      <c r="B12" s="28" t="inlineStr">
        <is>
          <t>Electronic City Systems Hub</t>
        </is>
      </c>
      <c r="C12" s="27" t="inlineStr">
        <is>
          <t>Bengaluru</t>
        </is>
      </c>
      <c r="D12" s="27" t="inlineStr">
        <is>
          <t>Owned</t>
        </is>
      </c>
      <c r="E12" s="27" t="inlineStr">
        <is>
          <t>LSE-BLR-03-2015</t>
        </is>
      </c>
      <c r="F12" s="27" t="inlineStr">
        <is>
          <t>2015-01-01</t>
        </is>
      </c>
      <c r="G12" s="27" t="inlineStr">
        <is>
          <t>N/A (Owned)</t>
        </is>
      </c>
      <c r="H12" s="39" t="n">
        <v>0</v>
      </c>
      <c r="I12" s="37" t="n">
        <v>0</v>
      </c>
      <c r="J12" s="27" t="inlineStr">
        <is>
          <t>Owned</t>
        </is>
      </c>
      <c r="K12" s="27" t="inlineStr">
        <is>
          <t>Active (Owned)</t>
        </is>
      </c>
    </row>
    <row r="13">
      <c r="A13" s="23" t="inlineStr">
        <is>
          <t>PROP-MAA-01</t>
        </is>
      </c>
      <c r="B13" s="14" t="inlineStr">
        <is>
          <t>OMR Cyber Gateway</t>
        </is>
      </c>
      <c r="C13" s="23" t="inlineStr">
        <is>
          <t>Chennai</t>
        </is>
      </c>
      <c r="D13" s="23" t="inlineStr">
        <is>
          <t>Leased</t>
        </is>
      </c>
      <c r="E13" s="23" t="inlineStr">
        <is>
          <t>LSE-MAA-01-2022</t>
        </is>
      </c>
      <c r="F13" s="23" t="inlineStr">
        <is>
          <t>2022-08-01</t>
        </is>
      </c>
      <c r="G13" s="23" t="inlineStr">
        <is>
          <t>2028-07-31</t>
        </is>
      </c>
      <c r="H13" s="38" t="n">
        <v>6</v>
      </c>
      <c r="I13" s="17" t="n">
        <v>123930000</v>
      </c>
      <c r="J13" s="23" t="inlineStr">
        <is>
          <t>Expiring 12-24M</t>
        </is>
      </c>
      <c r="K13" s="23" t="inlineStr">
        <is>
          <t>Active</t>
        </is>
      </c>
    </row>
    <row r="14">
      <c r="A14" s="27" t="inlineStr">
        <is>
          <t>PROP-MAA-02</t>
        </is>
      </c>
      <c r="B14" s="28" t="inlineStr">
        <is>
          <t>Guindy Industrial Square</t>
        </is>
      </c>
      <c r="C14" s="27" t="inlineStr">
        <is>
          <t>Chennai</t>
        </is>
      </c>
      <c r="D14" s="27" t="inlineStr">
        <is>
          <t>Leased</t>
        </is>
      </c>
      <c r="E14" s="27" t="inlineStr">
        <is>
          <t>LSE-MAA-02-2021</t>
        </is>
      </c>
      <c r="F14" s="27" t="inlineStr">
        <is>
          <t>2021-04-01</t>
        </is>
      </c>
      <c r="G14" s="27" t="inlineStr">
        <is>
          <t>2027-03-31</t>
        </is>
      </c>
      <c r="H14" s="39" t="n">
        <v>6</v>
      </c>
      <c r="I14" s="37" t="n">
        <v>65025000</v>
      </c>
      <c r="J14" s="27" t="inlineStr">
        <is>
          <t>Expiring &lt;= 6M</t>
        </is>
      </c>
      <c r="K14" s="27" t="inlineStr">
        <is>
          <t>Expiring Near-Term</t>
        </is>
      </c>
    </row>
    <row r="15">
      <c r="A15" s="23" t="inlineStr">
        <is>
          <t>PROP-HYD-01</t>
        </is>
      </c>
      <c r="B15" s="14" t="inlineStr">
        <is>
          <t>HITEC City Cyber Horizon</t>
        </is>
      </c>
      <c r="C15" s="23" t="inlineStr">
        <is>
          <t>Hyderabad</t>
        </is>
      </c>
      <c r="D15" s="23" t="inlineStr">
        <is>
          <t>Leased</t>
        </is>
      </c>
      <c r="E15" s="23" t="inlineStr">
        <is>
          <t>LSE-HYD-01-2023</t>
        </is>
      </c>
      <c r="F15" s="23" t="inlineStr">
        <is>
          <t>2023-05-01</t>
        </is>
      </c>
      <c r="G15" s="23" t="inlineStr">
        <is>
          <t>2029-04-30</t>
        </is>
      </c>
      <c r="H15" s="38" t="n">
        <v>6</v>
      </c>
      <c r="I15" s="17" t="n">
        <v>163200000</v>
      </c>
      <c r="J15" s="23" t="inlineStr">
        <is>
          <t>Horizon &gt; 24M</t>
        </is>
      </c>
      <c r="K15" s="23" t="inlineStr">
        <is>
          <t>Active</t>
        </is>
      </c>
    </row>
    <row r="16">
      <c r="A16" s="27" t="inlineStr">
        <is>
          <t>PROP-HYD-02</t>
        </is>
      </c>
      <c r="B16" s="28" t="inlineStr">
        <is>
          <t>Gachibowli Financial Hub</t>
        </is>
      </c>
      <c r="C16" s="27" t="inlineStr">
        <is>
          <t>Hyderabad</t>
        </is>
      </c>
      <c r="D16" s="27" t="inlineStr">
        <is>
          <t>Leased</t>
        </is>
      </c>
      <c r="E16" s="27" t="inlineStr">
        <is>
          <t>LSE-HYD-02-2021</t>
        </is>
      </c>
      <c r="F16" s="27" t="inlineStr">
        <is>
          <t>2021-12-01</t>
        </is>
      </c>
      <c r="G16" s="27" t="inlineStr">
        <is>
          <t>2027-11-30</t>
        </is>
      </c>
      <c r="H16" s="39" t="n">
        <v>6</v>
      </c>
      <c r="I16" s="37" t="n">
        <v>58344000</v>
      </c>
      <c r="J16" s="27" t="inlineStr">
        <is>
          <t>Expiring 12-24M</t>
        </is>
      </c>
      <c r="K16" s="27" t="inlineStr">
        <is>
          <t>Active</t>
        </is>
      </c>
    </row>
    <row r="17">
      <c r="A17" s="23" t="inlineStr">
        <is>
          <t>PROP-DEL-01</t>
        </is>
      </c>
      <c r="B17" s="14" t="inlineStr">
        <is>
          <t>Gurugram Cyber City Tower 8</t>
        </is>
      </c>
      <c r="C17" s="23" t="inlineStr">
        <is>
          <t>Delhi NCR</t>
        </is>
      </c>
      <c r="D17" s="23" t="inlineStr">
        <is>
          <t>Leased</t>
        </is>
      </c>
      <c r="E17" s="23" t="inlineStr">
        <is>
          <t>LSE-DEL-01-2021</t>
        </is>
      </c>
      <c r="F17" s="23" t="inlineStr">
        <is>
          <t>2021-07-01</t>
        </is>
      </c>
      <c r="G17" s="23" t="inlineStr">
        <is>
          <t>2027-06-30</t>
        </is>
      </c>
      <c r="H17" s="38" t="n">
        <v>6</v>
      </c>
      <c r="I17" s="17" t="n">
        <v>175950000</v>
      </c>
      <c r="J17" s="23" t="inlineStr">
        <is>
          <t>Expiring 6-12M</t>
        </is>
      </c>
      <c r="K17" s="23" t="inlineStr">
        <is>
          <t>Active</t>
        </is>
      </c>
    </row>
    <row r="18">
      <c r="A18" s="27" t="inlineStr">
        <is>
          <t>PROP-DEL-02</t>
        </is>
      </c>
      <c r="B18" s="28" t="inlineStr">
        <is>
          <t>Noida Express Commercial Tower</t>
        </is>
      </c>
      <c r="C18" s="27" t="inlineStr">
        <is>
          <t>Delhi NCR</t>
        </is>
      </c>
      <c r="D18" s="27" t="inlineStr">
        <is>
          <t>Leased</t>
        </is>
      </c>
      <c r="E18" s="27" t="inlineStr">
        <is>
          <t>LSE-DEL-02-2022</t>
        </is>
      </c>
      <c r="F18" s="27" t="inlineStr">
        <is>
          <t>2022-02-01</t>
        </is>
      </c>
      <c r="G18" s="27" t="inlineStr">
        <is>
          <t>2028-01-31</t>
        </is>
      </c>
      <c r="H18" s="39" t="n">
        <v>6</v>
      </c>
      <c r="I18" s="37" t="n">
        <v>71808000</v>
      </c>
      <c r="J18" s="27" t="inlineStr">
        <is>
          <t>Expiring 12-24M</t>
        </is>
      </c>
      <c r="K18" s="27" t="inlineStr">
        <is>
          <t>Active</t>
        </is>
      </c>
    </row>
    <row r="19">
      <c r="A19" s="23" t="inlineStr">
        <is>
          <t>PROP-SGP-01</t>
        </is>
      </c>
      <c r="B19" s="14" t="inlineStr">
        <is>
          <t>Marina Bay Financial Centre Tower 2</t>
        </is>
      </c>
      <c r="C19" s="23" t="inlineStr">
        <is>
          <t>Singapore</t>
        </is>
      </c>
      <c r="D19" s="23" t="inlineStr">
        <is>
          <t>Leased</t>
        </is>
      </c>
      <c r="E19" s="23" t="inlineStr">
        <is>
          <t>LSE-SGP-01-2022</t>
        </is>
      </c>
      <c r="F19" s="23" t="inlineStr">
        <is>
          <t>2022-03-01</t>
        </is>
      </c>
      <c r="G19" s="23" t="inlineStr">
        <is>
          <t>2027-02-28</t>
        </is>
      </c>
      <c r="H19" s="38" t="n">
        <v>6</v>
      </c>
      <c r="I19" s="17" t="n">
        <v>617220000</v>
      </c>
      <c r="J19" s="23" t="inlineStr">
        <is>
          <t>Expiring &lt;= 6M</t>
        </is>
      </c>
      <c r="K19" s="23" t="inlineStr">
        <is>
          <t>Expiring Near-Term</t>
        </is>
      </c>
    </row>
    <row r="20">
      <c r="A20" s="27" t="inlineStr">
        <is>
          <t>PROP-SGP-02</t>
        </is>
      </c>
      <c r="B20" s="28" t="inlineStr">
        <is>
          <t>Changi Business Hub</t>
        </is>
      </c>
      <c r="C20" s="27" t="inlineStr">
        <is>
          <t>Singapore</t>
        </is>
      </c>
      <c r="D20" s="27" t="inlineStr">
        <is>
          <t>Leased</t>
        </is>
      </c>
      <c r="E20" s="27" t="inlineStr">
        <is>
          <t>LSE-SGP-02-2023</t>
        </is>
      </c>
      <c r="F20" s="27" t="inlineStr">
        <is>
          <t>2023-09-01</t>
        </is>
      </c>
      <c r="G20" s="27" t="inlineStr">
        <is>
          <t>2029-08-31</t>
        </is>
      </c>
      <c r="H20" s="39" t="n">
        <v>6</v>
      </c>
      <c r="I20" s="37" t="n">
        <v>261366000</v>
      </c>
      <c r="J20" s="27" t="inlineStr">
        <is>
          <t>Horizon &gt; 24M</t>
        </is>
      </c>
      <c r="K20" s="27" t="inlineStr">
        <is>
          <t>Active</t>
        </is>
      </c>
    </row>
    <row r="21">
      <c r="A21" s="23" t="inlineStr">
        <is>
          <t>PROP-KUL-01</t>
        </is>
      </c>
      <c r="B21" s="14" t="inlineStr">
        <is>
          <t>KL Sentral Corporate Suites</t>
        </is>
      </c>
      <c r="C21" s="23" t="inlineStr">
        <is>
          <t>Kuala Lumpur</t>
        </is>
      </c>
      <c r="D21" s="23" t="inlineStr">
        <is>
          <t>Leased</t>
        </is>
      </c>
      <c r="E21" s="23" t="inlineStr">
        <is>
          <t>LSE-KUL-01-2021</t>
        </is>
      </c>
      <c r="F21" s="23" t="inlineStr">
        <is>
          <t>2021-09-01</t>
        </is>
      </c>
      <c r="G21" s="23" t="inlineStr">
        <is>
          <t>2027-08-31</t>
        </is>
      </c>
      <c r="H21" s="38" t="n">
        <v>6</v>
      </c>
      <c r="I21" s="17" t="n">
        <v>76003200</v>
      </c>
      <c r="J21" s="23" t="inlineStr">
        <is>
          <t>Expiring 6-12M</t>
        </is>
      </c>
      <c r="K21" s="23" t="inlineStr">
        <is>
          <t>Active</t>
        </is>
      </c>
    </row>
    <row r="22">
      <c r="A22" s="27" t="inlineStr">
        <is>
          <t>PROP-KUL-02</t>
        </is>
      </c>
      <c r="B22" s="28" t="inlineStr">
        <is>
          <t>Bangsar South Tech Centre</t>
        </is>
      </c>
      <c r="C22" s="27" t="inlineStr">
        <is>
          <t>Kuala Lumpur</t>
        </is>
      </c>
      <c r="D22" s="27" t="inlineStr">
        <is>
          <t>Leased</t>
        </is>
      </c>
      <c r="E22" s="27" t="inlineStr">
        <is>
          <t>LSE-KUL-02-2023</t>
        </is>
      </c>
      <c r="F22" s="27" t="inlineStr">
        <is>
          <t>2023-01-01</t>
        </is>
      </c>
      <c r="G22" s="27" t="inlineStr">
        <is>
          <t>2028-12-31</t>
        </is>
      </c>
      <c r="H22" s="39" t="n">
        <v>6</v>
      </c>
      <c r="I22" s="37" t="n">
        <v>86879520</v>
      </c>
      <c r="J22" s="27" t="inlineStr">
        <is>
          <t>Horizon &gt; 24M</t>
        </is>
      </c>
      <c r="K22" s="27" t="inlineStr">
        <is>
          <t>Active</t>
        </is>
      </c>
    </row>
    <row r="23">
      <c r="A23" s="23" t="inlineStr">
        <is>
          <t>PROP-BKK-01</t>
        </is>
      </c>
      <c r="B23" s="14" t="inlineStr">
        <is>
          <t>Sathorn Square Tower</t>
        </is>
      </c>
      <c r="C23" s="23" t="inlineStr">
        <is>
          <t>Bangkok</t>
        </is>
      </c>
      <c r="D23" s="23" t="inlineStr">
        <is>
          <t>Leased</t>
        </is>
      </c>
      <c r="E23" s="23" t="inlineStr">
        <is>
          <t>LSE-BKK-01-2022</t>
        </is>
      </c>
      <c r="F23" s="23" t="inlineStr">
        <is>
          <t>2022-10-01</t>
        </is>
      </c>
      <c r="G23" s="23" t="inlineStr">
        <is>
          <t>2027-09-30</t>
        </is>
      </c>
      <c r="H23" s="38" t="n">
        <v>6</v>
      </c>
      <c r="I23" s="17" t="n">
        <v>98700000</v>
      </c>
      <c r="J23" s="23" t="inlineStr">
        <is>
          <t>Expiring 6-12M</t>
        </is>
      </c>
      <c r="K23" s="23" t="inlineStr">
        <is>
          <t>Active</t>
        </is>
      </c>
    </row>
    <row r="24">
      <c r="A24" s="27" t="inlineStr">
        <is>
          <t>PROP-BKK-02</t>
        </is>
      </c>
      <c r="B24" s="28" t="inlineStr">
        <is>
          <t>Asoke Exchange Office Suites</t>
        </is>
      </c>
      <c r="C24" s="27" t="inlineStr">
        <is>
          <t>Bangkok</t>
        </is>
      </c>
      <c r="D24" s="27" t="inlineStr">
        <is>
          <t>Leased</t>
        </is>
      </c>
      <c r="E24" s="27" t="inlineStr">
        <is>
          <t>LSE-BKK-02-2023</t>
        </is>
      </c>
      <c r="F24" s="27" t="inlineStr">
        <is>
          <t>2023-04-01</t>
        </is>
      </c>
      <c r="G24" s="27" t="inlineStr">
        <is>
          <t>2029-03-31</t>
        </is>
      </c>
      <c r="H24" s="39" t="n">
        <v>6</v>
      </c>
      <c r="I24" s="37" t="n">
        <v>107865000</v>
      </c>
      <c r="J24" s="27" t="inlineStr">
        <is>
          <t>Horizon &gt; 24M</t>
        </is>
      </c>
      <c r="K24" s="27" t="inlineStr">
        <is>
          <t>Active</t>
        </is>
      </c>
    </row>
    <row r="25">
      <c r="A25" s="23" t="inlineStr">
        <is>
          <t>PROP-JKT-01</t>
        </is>
      </c>
      <c r="B25" s="14" t="inlineStr">
        <is>
          <t>Sudirman SCBD One Pacific</t>
        </is>
      </c>
      <c r="C25" s="23" t="inlineStr">
        <is>
          <t>Jakarta</t>
        </is>
      </c>
      <c r="D25" s="23" t="inlineStr">
        <is>
          <t>Leased</t>
        </is>
      </c>
      <c r="E25" s="23" t="inlineStr">
        <is>
          <t>LSE-JKT-01-2021</t>
        </is>
      </c>
      <c r="F25" s="23" t="inlineStr">
        <is>
          <t>2021-08-01</t>
        </is>
      </c>
      <c r="G25" s="23" t="inlineStr">
        <is>
          <t>2027-07-31</t>
        </is>
      </c>
      <c r="H25" s="38" t="n">
        <v>6</v>
      </c>
      <c r="I25" s="17" t="n">
        <v>77274000</v>
      </c>
      <c r="J25" s="23" t="inlineStr">
        <is>
          <t>Expiring 6-12M</t>
        </is>
      </c>
      <c r="K25" s="23" t="inlineStr">
        <is>
          <t>Active</t>
        </is>
      </c>
    </row>
    <row r="26">
      <c r="A26" s="27" t="inlineStr">
        <is>
          <t>PROP-JKT-02</t>
        </is>
      </c>
      <c r="B26" s="28" t="inlineStr">
        <is>
          <t>Kuningan Tech Office Hub</t>
        </is>
      </c>
      <c r="C26" s="27" t="inlineStr">
        <is>
          <t>Jakarta</t>
        </is>
      </c>
      <c r="D26" s="27" t="inlineStr">
        <is>
          <t>Leased</t>
        </is>
      </c>
      <c r="E26" s="27" t="inlineStr">
        <is>
          <t>LSE-JKT-02-2024</t>
        </is>
      </c>
      <c r="F26" s="27" t="inlineStr">
        <is>
          <t>2024-01-01</t>
        </is>
      </c>
      <c r="G26" s="27" t="inlineStr">
        <is>
          <t>2029-12-31</t>
        </is>
      </c>
      <c r="H26" s="39" t="n">
        <v>6</v>
      </c>
      <c r="I26" s="37" t="n">
        <v>97308000</v>
      </c>
      <c r="J26" s="27" t="inlineStr">
        <is>
          <t>Horizon &gt; 24M</t>
        </is>
      </c>
      <c r="K26" s="27" t="inlineStr">
        <is>
          <t>Active</t>
        </is>
      </c>
    </row>
    <row r="27">
      <c r="A27" s="23" t="inlineStr">
        <is>
          <t>PROP-SYD-01</t>
        </is>
      </c>
      <c r="B27" s="14" t="inlineStr">
        <is>
          <t>Barangaroo International Tower 3</t>
        </is>
      </c>
      <c r="C27" s="23" t="inlineStr">
        <is>
          <t>Sydney</t>
        </is>
      </c>
      <c r="D27" s="23" t="inlineStr">
        <is>
          <t>Leased</t>
        </is>
      </c>
      <c r="E27" s="23" t="inlineStr">
        <is>
          <t>LSE-SYD-01-2021</t>
        </is>
      </c>
      <c r="F27" s="23" t="inlineStr">
        <is>
          <t>2021-05-01</t>
        </is>
      </c>
      <c r="G27" s="23" t="inlineStr">
        <is>
          <t>2027-04-30</t>
        </is>
      </c>
      <c r="H27" s="38" t="n">
        <v>6</v>
      </c>
      <c r="I27" s="17" t="n">
        <v>486532800</v>
      </c>
      <c r="J27" s="23" t="inlineStr">
        <is>
          <t>Expiring 6-12M</t>
        </is>
      </c>
      <c r="K27" s="23" t="inlineStr">
        <is>
          <t>Active</t>
        </is>
      </c>
    </row>
    <row r="28">
      <c r="A28" s="27" t="inlineStr">
        <is>
          <t>PROP-SYD-02</t>
        </is>
      </c>
      <c r="B28" s="28" t="inlineStr">
        <is>
          <t>Macquarie Park Tech Pavilion</t>
        </is>
      </c>
      <c r="C28" s="27" t="inlineStr">
        <is>
          <t>Sydney</t>
        </is>
      </c>
      <c r="D28" s="27" t="inlineStr">
        <is>
          <t>Leased</t>
        </is>
      </c>
      <c r="E28" s="27" t="inlineStr">
        <is>
          <t>LSE-SYD-02-2023</t>
        </is>
      </c>
      <c r="F28" s="27" t="inlineStr">
        <is>
          <t>2023-07-01</t>
        </is>
      </c>
      <c r="G28" s="27" t="inlineStr">
        <is>
          <t>2028-06-30</t>
        </is>
      </c>
      <c r="H28" s="39" t="n">
        <v>6</v>
      </c>
      <c r="I28" s="37" t="n">
        <v>246412800</v>
      </c>
      <c r="J28" s="27" t="inlineStr">
        <is>
          <t>Expiring 12-24M</t>
        </is>
      </c>
      <c r="K28" s="27" t="inlineStr">
        <is>
          <t>Active</t>
        </is>
      </c>
    </row>
    <row r="29">
      <c r="A29" s="23" t="inlineStr">
        <is>
          <t>PROP-PNQ-03</t>
        </is>
      </c>
      <c r="B29" s="14" t="inlineStr">
        <is>
          <t>Kalyani Nagar Gateway</t>
        </is>
      </c>
      <c r="C29" s="23" t="inlineStr">
        <is>
          <t>Pune</t>
        </is>
      </c>
      <c r="D29" s="23" t="inlineStr">
        <is>
          <t>Leased</t>
        </is>
      </c>
      <c r="E29" s="23" t="inlineStr">
        <is>
          <t>LSE-PNQ-03-2022</t>
        </is>
      </c>
      <c r="F29" s="23" t="inlineStr">
        <is>
          <t>2022-03-01</t>
        </is>
      </c>
      <c r="G29" s="23" t="inlineStr">
        <is>
          <t>2028-02-29</t>
        </is>
      </c>
      <c r="H29" s="38" t="n">
        <v>6</v>
      </c>
      <c r="I29" s="17" t="n">
        <v>32640000</v>
      </c>
      <c r="J29" s="23" t="inlineStr">
        <is>
          <t>Expiring 12-24M</t>
        </is>
      </c>
      <c r="K29" s="23" t="inlineStr">
        <is>
          <t>Active</t>
        </is>
      </c>
    </row>
    <row r="30">
      <c r="A30" s="18" t="inlineStr">
        <is>
          <t>Total Contractual Rent</t>
        </is>
      </c>
      <c r="B30" s="18" t="n"/>
      <c r="C30" s="18" t="n"/>
      <c r="D30" s="18" t="n"/>
      <c r="E30" s="18" t="n"/>
      <c r="F30" s="18" t="n"/>
      <c r="G30" s="18" t="n"/>
      <c r="H30" s="18" t="n"/>
      <c r="I30" s="21">
        <f>SUM(I5:I29)</f>
        <v/>
      </c>
      <c r="J30" s="18" t="n"/>
      <c r="K30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13" customWidth="1" min="4" max="4"/>
    <col width="11" customWidth="1" min="5" max="5"/>
    <col width="42" customWidth="1" min="6" max="6"/>
    <col width="37" customWidth="1" min="7" max="7"/>
    <col width="37" customWidth="1" min="8" max="8"/>
  </cols>
  <sheetData>
    <row r="1"/>
    <row r="2">
      <c r="A2" s="1" t="inlineStr">
        <is>
          <t>DATA QUALITY CONTROLS &amp; AUDIT LEDGER</t>
        </is>
      </c>
    </row>
    <row r="3">
      <c r="A3" s="2" t="inlineStr">
        <is>
          <t>Audit manifest logging 100% of injected raw defects and verified clean remediations</t>
        </is>
      </c>
    </row>
    <row r="4"/>
    <row r="5">
      <c r="A5" s="40" t="inlineStr">
        <is>
          <t>Total Ingestion Records</t>
        </is>
      </c>
      <c r="B5" s="41" t="n">
        <v>282584</v>
      </c>
    </row>
    <row r="6">
      <c r="A6" s="40" t="inlineStr">
        <is>
          <t>Detected Anomaly Count</t>
        </is>
      </c>
      <c r="B6" s="41">
        <f>COUNTA(A11:A54)</f>
        <v/>
      </c>
    </row>
    <row r="7">
      <c r="A7" s="40" t="inlineStr">
        <is>
          <t>Critical Defects</t>
        </is>
      </c>
      <c r="B7" s="41">
        <f>COUNTIF(E11:E54, "Critical")</f>
        <v/>
      </c>
    </row>
    <row r="8">
      <c r="A8" s="40" t="inlineStr">
        <is>
          <t>Remediation Pass Rate</t>
        </is>
      </c>
      <c r="B8" s="42">
        <f>(B5-B6)/B5</f>
        <v/>
      </c>
    </row>
    <row r="9"/>
    <row r="10">
      <c r="A10" s="13" t="inlineStr">
        <is>
          <t>Issue ID</t>
        </is>
      </c>
      <c r="B10" s="13" t="inlineStr">
        <is>
          <t>Table Name</t>
        </is>
      </c>
      <c r="C10" s="13" t="inlineStr">
        <is>
          <t>Record Identifier</t>
        </is>
      </c>
      <c r="D10" s="13" t="inlineStr">
        <is>
          <t>Issue Type</t>
        </is>
      </c>
      <c r="E10" s="13" t="inlineStr">
        <is>
          <t>Severity</t>
        </is>
      </c>
      <c r="F10" s="13" t="inlineStr">
        <is>
          <t>Expected Validation Rule</t>
        </is>
      </c>
      <c r="G10" s="13" t="inlineStr">
        <is>
          <t>Injected Raw Value</t>
        </is>
      </c>
      <c r="H10" s="13" t="inlineStr">
        <is>
          <t>Corrected Clean Value</t>
        </is>
      </c>
    </row>
    <row r="11">
      <c r="A11" s="23" t="inlineStr">
        <is>
          <t>DQ-ISS-001</t>
        </is>
      </c>
      <c r="B11" s="14" t="inlineStr">
        <is>
          <t>raw_properties</t>
        </is>
      </c>
      <c r="C11" s="14" t="inlineStr">
        <is>
          <t>PROP-BOM-01</t>
        </is>
      </c>
      <c r="D11" s="23" t="inlineStr">
        <is>
          <t>DQ009</t>
        </is>
      </c>
      <c r="E11" s="23" t="inlineStr">
        <is>
          <t>Medium</t>
        </is>
      </c>
      <c r="F11" s="14" t="inlineStr">
        <is>
          <t>City must not be null or blank</t>
        </is>
      </c>
      <c r="G11" s="14" t="inlineStr">
        <is>
          <t>nan</t>
        </is>
      </c>
      <c r="H11" s="14" t="inlineStr">
        <is>
          <t>Mumbai</t>
        </is>
      </c>
    </row>
    <row r="12">
      <c r="A12" s="27" t="inlineStr">
        <is>
          <t>DQ-ISS-002</t>
        </is>
      </c>
      <c r="B12" s="28" t="inlineStr">
        <is>
          <t>raw_properties</t>
        </is>
      </c>
      <c r="C12" s="28" t="inlineStr">
        <is>
          <t>PROP-BLR-02</t>
        </is>
      </c>
      <c r="D12" s="27" t="inlineStr">
        <is>
          <t>DQ005</t>
        </is>
      </c>
      <c r="E12" s="27" t="inlineStr">
        <is>
          <t>High</t>
        </is>
      </c>
      <c r="F12" s="28" t="inlineStr">
        <is>
          <t>City must map to valid country</t>
        </is>
      </c>
      <c r="G12" s="28" t="inlineStr">
        <is>
          <t>Australia</t>
        </is>
      </c>
      <c r="H12" s="28" t="inlineStr">
        <is>
          <t>India</t>
        </is>
      </c>
    </row>
    <row r="13">
      <c r="A13" s="23" t="inlineStr">
        <is>
          <t>DQ-ISS-003</t>
        </is>
      </c>
      <c r="B13" s="14" t="inlineStr">
        <is>
          <t>raw_properties</t>
        </is>
      </c>
      <c r="C13" s="14" t="inlineStr">
        <is>
          <t>PROP-PNQ-03</t>
        </is>
      </c>
      <c r="D13" s="23" t="inlineStr">
        <is>
          <t>DQ005</t>
        </is>
      </c>
      <c r="E13" s="23" t="inlineStr">
        <is>
          <t>Medium</t>
        </is>
      </c>
      <c r="F13" s="14" t="inlineStr">
        <is>
          <t>City name must be properly capitalized and trimmed</t>
        </is>
      </c>
      <c r="G13" s="14" t="inlineStr">
        <is>
          <t xml:space="preserve">PUNE </t>
        </is>
      </c>
      <c r="H13" s="14" t="inlineStr">
        <is>
          <t>Pune</t>
        </is>
      </c>
    </row>
    <row r="14">
      <c r="A14" s="27" t="inlineStr">
        <is>
          <t>DQ-ISS-004</t>
        </is>
      </c>
      <c r="B14" s="28" t="inlineStr">
        <is>
          <t>raw_properties</t>
        </is>
      </c>
      <c r="C14" s="28" t="inlineStr">
        <is>
          <t>PROP-MAA-02</t>
        </is>
      </c>
      <c r="D14" s="27" t="inlineStr">
        <is>
          <t>DQ006</t>
        </is>
      </c>
      <c r="E14" s="27" t="inlineStr">
        <is>
          <t>High</t>
        </is>
      </c>
      <c r="F14" s="28" t="inlineStr">
        <is>
          <t>Usable area cannot exceed rentable area</t>
        </is>
      </c>
      <c r="G14" s="28" t="inlineStr">
        <is>
          <t>8500.0</t>
        </is>
      </c>
      <c r="H14" s="28" t="inlineStr">
        <is>
          <t>6375.0</t>
        </is>
      </c>
    </row>
    <row r="15">
      <c r="A15" s="23" t="inlineStr">
        <is>
          <t>DQ-ISS-005</t>
        </is>
      </c>
      <c r="B15" s="14" t="inlineStr">
        <is>
          <t>raw_properties</t>
        </is>
      </c>
      <c r="C15" s="14" t="inlineStr">
        <is>
          <t>PROP-BOM-02</t>
        </is>
      </c>
      <c r="D15" s="23" t="inlineStr">
        <is>
          <t>DQ001</t>
        </is>
      </c>
      <c r="E15" s="23" t="inlineStr">
        <is>
          <t>Critical</t>
        </is>
      </c>
      <c r="F15" s="14" t="inlineStr">
        <is>
          <t>Property code must be unique</t>
        </is>
      </c>
      <c r="G15" s="14" t="inlineStr">
        <is>
          <t>Duplicate Record Injected</t>
        </is>
      </c>
      <c r="H15" s="14" t="inlineStr">
        <is>
          <t>Single Unique Record</t>
        </is>
      </c>
    </row>
    <row r="16">
      <c r="A16" s="27" t="inlineStr">
        <is>
          <t>DQ-ISS-006</t>
        </is>
      </c>
      <c r="B16" s="28" t="inlineStr">
        <is>
          <t>raw_leases</t>
        </is>
      </c>
      <c r="C16" s="28" t="inlineStr">
        <is>
          <t>LSE-DEL-01-2021</t>
        </is>
      </c>
      <c r="D16" s="27" t="inlineStr">
        <is>
          <t>DQ004</t>
        </is>
      </c>
      <c r="E16" s="27" t="inlineStr">
        <is>
          <t>Critical</t>
        </is>
      </c>
      <c r="F16" s="28" t="inlineStr">
        <is>
          <t>Lease end date cannot precede lease start date</t>
        </is>
      </c>
      <c r="G16" s="28" t="inlineStr">
        <is>
          <t>Start: 2027-06-30, End: 2021-07-01</t>
        </is>
      </c>
      <c r="H16" s="28" t="inlineStr">
        <is>
          <t>Start: 2021-07-01, End: 2027-06-30</t>
        </is>
      </c>
    </row>
    <row r="17">
      <c r="A17" s="23" t="inlineStr">
        <is>
          <t>DQ-ISS-007</t>
        </is>
      </c>
      <c r="B17" s="14" t="inlineStr">
        <is>
          <t>raw_leases</t>
        </is>
      </c>
      <c r="C17" s="14" t="inlineStr">
        <is>
          <t>LSE-KUL-02-2023</t>
        </is>
      </c>
      <c r="D17" s="23" t="inlineStr">
        <is>
          <t>DQ004</t>
        </is>
      </c>
      <c r="E17" s="23" t="inlineStr">
        <is>
          <t>Critical</t>
        </is>
      </c>
      <c r="F17" s="14" t="inlineStr">
        <is>
          <t>Lease end date cannot precede lease start date</t>
        </is>
      </c>
      <c r="G17" s="14" t="inlineStr">
        <is>
          <t>Start: 2028-12-31, End: 2023-01-01</t>
        </is>
      </c>
      <c r="H17" s="14" t="inlineStr">
        <is>
          <t>Start: 2023-01-01, End: 2028-12-31</t>
        </is>
      </c>
    </row>
    <row r="18">
      <c r="A18" s="27" t="inlineStr">
        <is>
          <t>DQ-ISS-008</t>
        </is>
      </c>
      <c r="B18" s="28" t="inlineStr">
        <is>
          <t>raw_leases</t>
        </is>
      </c>
      <c r="C18" s="28" t="inlineStr">
        <is>
          <t>LSE-BKK-02-2023</t>
        </is>
      </c>
      <c r="D18" s="27" t="inlineStr">
        <is>
          <t>DQ009</t>
        </is>
      </c>
      <c r="E18" s="27" t="inlineStr">
        <is>
          <t>High</t>
        </is>
      </c>
      <c r="F18" s="28" t="inlineStr">
        <is>
          <t>Lease end date must not be null or empty</t>
        </is>
      </c>
      <c r="G18" s="28" t="inlineStr">
        <is>
          <t>nan</t>
        </is>
      </c>
      <c r="H18" s="28" t="inlineStr">
        <is>
          <t>2029-03-31</t>
        </is>
      </c>
    </row>
    <row r="19">
      <c r="A19" s="23" t="inlineStr">
        <is>
          <t>DQ-ISS-009</t>
        </is>
      </c>
      <c r="B19" s="14" t="inlineStr">
        <is>
          <t>raw_property_costs</t>
        </is>
      </c>
      <c r="C19" s="14" t="inlineStr">
        <is>
          <t>COST-3045</t>
        </is>
      </c>
      <c r="D19" s="23" t="inlineStr">
        <is>
          <t>DQ008</t>
        </is>
      </c>
      <c r="E19" s="23" t="inlineStr">
        <is>
          <t>High</t>
        </is>
      </c>
      <c r="F19" s="14" t="inlineStr">
        <is>
          <t>Operating cost values cannot be negative</t>
        </is>
      </c>
      <c r="G19" s="14" t="inlineStr">
        <is>
          <t>-3825000.0</t>
        </is>
      </c>
      <c r="H19" s="14" t="inlineStr">
        <is>
          <t>3825000.0</t>
        </is>
      </c>
    </row>
    <row r="20">
      <c r="A20" s="27" t="inlineStr">
        <is>
          <t>DQ-ISS-010</t>
        </is>
      </c>
      <c r="B20" s="28" t="inlineStr">
        <is>
          <t>raw_property_costs</t>
        </is>
      </c>
      <c r="C20" s="28" t="inlineStr">
        <is>
          <t>COST-3120</t>
        </is>
      </c>
      <c r="D20" s="27" t="inlineStr">
        <is>
          <t>DQ008</t>
        </is>
      </c>
      <c r="E20" s="27" t="inlineStr">
        <is>
          <t>High</t>
        </is>
      </c>
      <c r="F20" s="28" t="inlineStr">
        <is>
          <t>Energy cost cannot be negative</t>
        </is>
      </c>
      <c r="G20" s="28" t="inlineStr">
        <is>
          <t>-740353.81</t>
        </is>
      </c>
      <c r="H20" s="28" t="inlineStr">
        <is>
          <t>740353.81</t>
        </is>
      </c>
    </row>
    <row r="21">
      <c r="A21" s="23" t="inlineStr">
        <is>
          <t>DQ-ISS-011</t>
        </is>
      </c>
      <c r="B21" s="14" t="inlineStr">
        <is>
          <t>raw_property_costs</t>
        </is>
      </c>
      <c r="C21" s="14" t="inlineStr">
        <is>
          <t>COST-3280</t>
        </is>
      </c>
      <c r="D21" s="23" t="inlineStr">
        <is>
          <t>DQ008</t>
        </is>
      </c>
      <c r="E21" s="23" t="inlineStr">
        <is>
          <t>High</t>
        </is>
      </c>
      <c r="F21" s="14" t="inlineStr">
        <is>
          <t>Facilities cost cannot be negative</t>
        </is>
      </c>
      <c r="G21" s="14" t="inlineStr">
        <is>
          <t>-625594.69</t>
        </is>
      </c>
      <c r="H21" s="14" t="inlineStr">
        <is>
          <t>625594.69</t>
        </is>
      </c>
    </row>
    <row r="22">
      <c r="A22" s="27" t="inlineStr">
        <is>
          <t>DQ-ISS-012</t>
        </is>
      </c>
      <c r="B22" s="28" t="inlineStr">
        <is>
          <t>raw_spaces</t>
        </is>
      </c>
      <c r="C22" s="28" t="inlineStr">
        <is>
          <t>SP-5015</t>
        </is>
      </c>
      <c r="D22" s="27" t="inlineStr">
        <is>
          <t>DQ009</t>
        </is>
      </c>
      <c r="E22" s="27" t="inlineStr">
        <is>
          <t>Medium</t>
        </is>
      </c>
      <c r="F22" s="28" t="inlineStr">
        <is>
          <t>Space type must not be blank</t>
        </is>
      </c>
      <c r="G22" s="28" t="inlineStr">
        <is>
          <t>nan</t>
        </is>
      </c>
      <c r="H22" s="28" t="inlineStr">
        <is>
          <t>Collaboration Area</t>
        </is>
      </c>
    </row>
    <row r="23">
      <c r="A23" s="23" t="inlineStr">
        <is>
          <t>DQ-ISS-013</t>
        </is>
      </c>
      <c r="B23" s="14" t="inlineStr">
        <is>
          <t>raw_spaces</t>
        </is>
      </c>
      <c r="C23" s="14" t="inlineStr">
        <is>
          <t>SP-5120</t>
        </is>
      </c>
      <c r="D23" s="23" t="inlineStr">
        <is>
          <t>DQ005</t>
        </is>
      </c>
      <c r="E23" s="23" t="inlineStr">
        <is>
          <t>Medium</t>
        </is>
      </c>
      <c r="F23" s="14" t="inlineStr">
        <is>
          <t>Space type must follow standard title case classification</t>
        </is>
      </c>
      <c r="G23" s="14" t="inlineStr">
        <is>
          <t>open_workstation</t>
        </is>
      </c>
      <c r="H23" s="14" t="inlineStr">
        <is>
          <t>Open Workstation</t>
        </is>
      </c>
    </row>
    <row r="24">
      <c r="A24" s="27" t="inlineStr">
        <is>
          <t>DQ-ISS-014</t>
        </is>
      </c>
      <c r="B24" s="28" t="inlineStr">
        <is>
          <t>raw_utilization</t>
        </is>
      </c>
      <c r="C24" s="28" t="inlineStr">
        <is>
          <t>UTIL-1000106</t>
        </is>
      </c>
      <c r="D24" s="27" t="inlineStr">
        <is>
          <t>DQ003</t>
        </is>
      </c>
      <c r="E24" s="27" t="inlineStr">
        <is>
          <t>Critical</t>
        </is>
      </c>
      <c r="F24" s="28" t="inlineStr">
        <is>
          <t>Utilization rate must be between 0% and 100%</t>
        </is>
      </c>
      <c r="G24" s="28" t="inlineStr">
        <is>
          <t>1.3800</t>
        </is>
      </c>
      <c r="H24" s="28" t="inlineStr">
        <is>
          <t>0.8835</t>
        </is>
      </c>
    </row>
    <row r="25">
      <c r="A25" s="23" t="inlineStr">
        <is>
          <t>DQ-ISS-015</t>
        </is>
      </c>
      <c r="B25" s="14" t="inlineStr">
        <is>
          <t>raw_utilization</t>
        </is>
      </c>
      <c r="C25" s="14" t="inlineStr">
        <is>
          <t>UTIL-1000521</t>
        </is>
      </c>
      <c r="D25" s="23" t="inlineStr">
        <is>
          <t>DQ003</t>
        </is>
      </c>
      <c r="E25" s="23" t="inlineStr">
        <is>
          <t>Critical</t>
        </is>
      </c>
      <c r="F25" s="14" t="inlineStr">
        <is>
          <t>Utilization rate must be between 0% and 100%</t>
        </is>
      </c>
      <c r="G25" s="14" t="inlineStr">
        <is>
          <t>1.3800</t>
        </is>
      </c>
      <c r="H25" s="14" t="inlineStr">
        <is>
          <t>0.8575</t>
        </is>
      </c>
    </row>
    <row r="26">
      <c r="A26" s="27" t="inlineStr">
        <is>
          <t>DQ-ISS-016</t>
        </is>
      </c>
      <c r="B26" s="28" t="inlineStr">
        <is>
          <t>raw_utilization</t>
        </is>
      </c>
      <c r="C26" s="28" t="inlineStr">
        <is>
          <t>UTIL-1001421</t>
        </is>
      </c>
      <c r="D26" s="27" t="inlineStr">
        <is>
          <t>DQ003</t>
        </is>
      </c>
      <c r="E26" s="27" t="inlineStr">
        <is>
          <t>Critical</t>
        </is>
      </c>
      <c r="F26" s="28" t="inlineStr">
        <is>
          <t>Utilization rate must be between 0% and 100%</t>
        </is>
      </c>
      <c r="G26" s="28" t="inlineStr">
        <is>
          <t>1.3800</t>
        </is>
      </c>
      <c r="H26" s="28" t="inlineStr">
        <is>
          <t>0.4524</t>
        </is>
      </c>
    </row>
    <row r="27">
      <c r="A27" s="23" t="inlineStr">
        <is>
          <t>DQ-ISS-017</t>
        </is>
      </c>
      <c r="B27" s="14" t="inlineStr">
        <is>
          <t>raw_utilization</t>
        </is>
      </c>
      <c r="C27" s="14" t="inlineStr">
        <is>
          <t>UTIL-1002891</t>
        </is>
      </c>
      <c r="D27" s="23" t="inlineStr">
        <is>
          <t>DQ003</t>
        </is>
      </c>
      <c r="E27" s="23" t="inlineStr">
        <is>
          <t>Critical</t>
        </is>
      </c>
      <c r="F27" s="14" t="inlineStr">
        <is>
          <t>Utilization rate must be between 0% and 100%</t>
        </is>
      </c>
      <c r="G27" s="14" t="inlineStr">
        <is>
          <t>1.3800</t>
        </is>
      </c>
      <c r="H27" s="14" t="inlineStr">
        <is>
          <t>0.5183</t>
        </is>
      </c>
    </row>
    <row r="28">
      <c r="A28" s="27" t="inlineStr">
        <is>
          <t>DQ-ISS-018</t>
        </is>
      </c>
      <c r="B28" s="28" t="inlineStr">
        <is>
          <t>raw_utilization</t>
        </is>
      </c>
      <c r="C28" s="28" t="inlineStr">
        <is>
          <t>UTIL-1004511</t>
        </is>
      </c>
      <c r="D28" s="27" t="inlineStr">
        <is>
          <t>DQ003</t>
        </is>
      </c>
      <c r="E28" s="27" t="inlineStr">
        <is>
          <t>Critical</t>
        </is>
      </c>
      <c r="F28" s="28" t="inlineStr">
        <is>
          <t>Utilization rate must be between 0% and 100%</t>
        </is>
      </c>
      <c r="G28" s="28" t="inlineStr">
        <is>
          <t>1.3800</t>
        </is>
      </c>
      <c r="H28" s="28" t="inlineStr">
        <is>
          <t>0.504</t>
        </is>
      </c>
    </row>
    <row r="29">
      <c r="A29" s="23" t="inlineStr">
        <is>
          <t>DQ-ISS-019</t>
        </is>
      </c>
      <c r="B29" s="14" t="inlineStr">
        <is>
          <t>raw_utilization</t>
        </is>
      </c>
      <c r="C29" s="14" t="inlineStr">
        <is>
          <t>UTIL-1008921</t>
        </is>
      </c>
      <c r="D29" s="23" t="inlineStr">
        <is>
          <t>DQ003</t>
        </is>
      </c>
      <c r="E29" s="23" t="inlineStr">
        <is>
          <t>Critical</t>
        </is>
      </c>
      <c r="F29" s="14" t="inlineStr">
        <is>
          <t>Utilization rate must be between 0% and 100%</t>
        </is>
      </c>
      <c r="G29" s="14" t="inlineStr">
        <is>
          <t>1.3800</t>
        </is>
      </c>
      <c r="H29" s="14" t="inlineStr">
        <is>
          <t>0.6475</t>
        </is>
      </c>
    </row>
    <row r="30">
      <c r="A30" s="27" t="inlineStr">
        <is>
          <t>DQ-ISS-020</t>
        </is>
      </c>
      <c r="B30" s="28" t="inlineStr">
        <is>
          <t>raw_utilization</t>
        </is>
      </c>
      <c r="C30" s="28" t="inlineStr">
        <is>
          <t>UTIL-1015301</t>
        </is>
      </c>
      <c r="D30" s="27" t="inlineStr">
        <is>
          <t>DQ003</t>
        </is>
      </c>
      <c r="E30" s="27" t="inlineStr">
        <is>
          <t>Critical</t>
        </is>
      </c>
      <c r="F30" s="28" t="inlineStr">
        <is>
          <t>Utilization rate must be between 0% and 100%</t>
        </is>
      </c>
      <c r="G30" s="28" t="inlineStr">
        <is>
          <t>1.3800</t>
        </is>
      </c>
      <c r="H30" s="28" t="inlineStr">
        <is>
          <t>0.3733</t>
        </is>
      </c>
    </row>
    <row r="31">
      <c r="A31" s="23" t="inlineStr">
        <is>
          <t>DQ-ISS-021</t>
        </is>
      </c>
      <c r="B31" s="14" t="inlineStr">
        <is>
          <t>raw_utilization</t>
        </is>
      </c>
      <c r="C31" s="14" t="inlineStr">
        <is>
          <t>UTIL-1024101</t>
        </is>
      </c>
      <c r="D31" s="23" t="inlineStr">
        <is>
          <t>DQ003</t>
        </is>
      </c>
      <c r="E31" s="23" t="inlineStr">
        <is>
          <t>Critical</t>
        </is>
      </c>
      <c r="F31" s="14" t="inlineStr">
        <is>
          <t>Utilization rate must be between 0% and 100%</t>
        </is>
      </c>
      <c r="G31" s="14" t="inlineStr">
        <is>
          <t>1.3800</t>
        </is>
      </c>
      <c r="H31" s="14" t="inlineStr">
        <is>
          <t>0.7911</t>
        </is>
      </c>
    </row>
    <row r="32">
      <c r="A32" s="27" t="inlineStr">
        <is>
          <t>DQ-ISS-022</t>
        </is>
      </c>
      <c r="B32" s="28" t="inlineStr">
        <is>
          <t>raw_utilization</t>
        </is>
      </c>
      <c r="C32" s="28" t="inlineStr">
        <is>
          <t>UTIL-1038501</t>
        </is>
      </c>
      <c r="D32" s="27" t="inlineStr">
        <is>
          <t>DQ003</t>
        </is>
      </c>
      <c r="E32" s="27" t="inlineStr">
        <is>
          <t>Critical</t>
        </is>
      </c>
      <c r="F32" s="28" t="inlineStr">
        <is>
          <t>Utilization rate must be between 0% and 100%</t>
        </is>
      </c>
      <c r="G32" s="28" t="inlineStr">
        <is>
          <t>1.3800</t>
        </is>
      </c>
      <c r="H32" s="28" t="inlineStr">
        <is>
          <t>0.6102</t>
        </is>
      </c>
    </row>
    <row r="33">
      <c r="A33" s="23" t="inlineStr">
        <is>
          <t>DQ-ISS-023</t>
        </is>
      </c>
      <c r="B33" s="14" t="inlineStr">
        <is>
          <t>raw_utilization</t>
        </is>
      </c>
      <c r="C33" s="14" t="inlineStr">
        <is>
          <t>UTIL-1052101</t>
        </is>
      </c>
      <c r="D33" s="23" t="inlineStr">
        <is>
          <t>DQ003</t>
        </is>
      </c>
      <c r="E33" s="23" t="inlineStr">
        <is>
          <t>Critical</t>
        </is>
      </c>
      <c r="F33" s="14" t="inlineStr">
        <is>
          <t>Utilization rate must be between 0% and 100%</t>
        </is>
      </c>
      <c r="G33" s="14" t="inlineStr">
        <is>
          <t>1.3800</t>
        </is>
      </c>
      <c r="H33" s="14" t="inlineStr">
        <is>
          <t>0.47</t>
        </is>
      </c>
    </row>
    <row r="34">
      <c r="A34" s="27" t="inlineStr">
        <is>
          <t>DQ-ISS-024</t>
        </is>
      </c>
      <c r="B34" s="28" t="inlineStr">
        <is>
          <t>raw_utilization</t>
        </is>
      </c>
      <c r="C34" s="28" t="inlineStr">
        <is>
          <t>UTIL-1071201</t>
        </is>
      </c>
      <c r="D34" s="27" t="inlineStr">
        <is>
          <t>DQ003</t>
        </is>
      </c>
      <c r="E34" s="27" t="inlineStr">
        <is>
          <t>Critical</t>
        </is>
      </c>
      <c r="F34" s="28" t="inlineStr">
        <is>
          <t>Utilization rate must be between 0% and 100%</t>
        </is>
      </c>
      <c r="G34" s="28" t="inlineStr">
        <is>
          <t>1.3800</t>
        </is>
      </c>
      <c r="H34" s="28" t="inlineStr">
        <is>
          <t>0.6117</t>
        </is>
      </c>
    </row>
    <row r="35">
      <c r="A35" s="23" t="inlineStr">
        <is>
          <t>DQ-ISS-025</t>
        </is>
      </c>
      <c r="B35" s="14" t="inlineStr">
        <is>
          <t>raw_utilization</t>
        </is>
      </c>
      <c r="C35" s="14" t="inlineStr">
        <is>
          <t>UTIL-1089401</t>
        </is>
      </c>
      <c r="D35" s="23" t="inlineStr">
        <is>
          <t>DQ003</t>
        </is>
      </c>
      <c r="E35" s="23" t="inlineStr">
        <is>
          <t>Critical</t>
        </is>
      </c>
      <c r="F35" s="14" t="inlineStr">
        <is>
          <t>Utilization rate must be between 0% and 100%</t>
        </is>
      </c>
      <c r="G35" s="14" t="inlineStr">
        <is>
          <t>1.3800</t>
        </is>
      </c>
      <c r="H35" s="14" t="inlineStr">
        <is>
          <t>0.6431</t>
        </is>
      </c>
    </row>
    <row r="36">
      <c r="A36" s="27" t="inlineStr">
        <is>
          <t>DQ-ISS-026</t>
        </is>
      </c>
      <c r="B36" s="28" t="inlineStr">
        <is>
          <t>raw_utilization</t>
        </is>
      </c>
      <c r="C36" s="28" t="inlineStr">
        <is>
          <t>UTIL-1102301</t>
        </is>
      </c>
      <c r="D36" s="27" t="inlineStr">
        <is>
          <t>DQ003</t>
        </is>
      </c>
      <c r="E36" s="27" t="inlineStr">
        <is>
          <t>Critical</t>
        </is>
      </c>
      <c r="F36" s="28" t="inlineStr">
        <is>
          <t>Utilization rate must be between 0% and 100%</t>
        </is>
      </c>
      <c r="G36" s="28" t="inlineStr">
        <is>
          <t>1.3800</t>
        </is>
      </c>
      <c r="H36" s="28" t="inlineStr">
        <is>
          <t>0.6605</t>
        </is>
      </c>
    </row>
    <row r="37">
      <c r="A37" s="23" t="inlineStr">
        <is>
          <t>DQ-ISS-027</t>
        </is>
      </c>
      <c r="B37" s="14" t="inlineStr">
        <is>
          <t>raw_utilization</t>
        </is>
      </c>
      <c r="C37" s="14" t="inlineStr">
        <is>
          <t>UTIL-1115001</t>
        </is>
      </c>
      <c r="D37" s="23" t="inlineStr">
        <is>
          <t>DQ003</t>
        </is>
      </c>
      <c r="E37" s="23" t="inlineStr">
        <is>
          <t>Critical</t>
        </is>
      </c>
      <c r="F37" s="14" t="inlineStr">
        <is>
          <t>Utilization rate must be between 0% and 100%</t>
        </is>
      </c>
      <c r="G37" s="14" t="inlineStr">
        <is>
          <t>1.3800</t>
        </is>
      </c>
      <c r="H37" s="14" t="inlineStr">
        <is>
          <t>0.4299</t>
        </is>
      </c>
    </row>
    <row r="38">
      <c r="A38" s="27" t="inlineStr">
        <is>
          <t>DQ-ISS-028</t>
        </is>
      </c>
      <c r="B38" s="28" t="inlineStr">
        <is>
          <t>raw_utilization</t>
        </is>
      </c>
      <c r="C38" s="28" t="inlineStr">
        <is>
          <t>UTIL-1000301</t>
        </is>
      </c>
      <c r="D38" s="27" t="inlineStr">
        <is>
          <t>DQ009</t>
        </is>
      </c>
      <c r="E38" s="27" t="inlineStr">
        <is>
          <t>High</t>
        </is>
      </c>
      <c r="F38" s="28" t="inlineStr">
        <is>
          <t>Average occupancy must not be null</t>
        </is>
      </c>
      <c r="G38" s="28" t="inlineStr">
        <is>
          <t>NaN / NULL</t>
        </is>
      </c>
      <c r="H38" s="28" t="inlineStr">
        <is>
          <t>68.67</t>
        </is>
      </c>
    </row>
    <row r="39">
      <c r="A39" s="23" t="inlineStr">
        <is>
          <t>DQ-ISS-029</t>
        </is>
      </c>
      <c r="B39" s="14" t="inlineStr">
        <is>
          <t>raw_utilization</t>
        </is>
      </c>
      <c r="C39" s="14" t="inlineStr">
        <is>
          <t>UTIL-1001201</t>
        </is>
      </c>
      <c r="D39" s="23" t="inlineStr">
        <is>
          <t>DQ009</t>
        </is>
      </c>
      <c r="E39" s="23" t="inlineStr">
        <is>
          <t>High</t>
        </is>
      </c>
      <c r="F39" s="14" t="inlineStr">
        <is>
          <t>Average occupancy must not be null</t>
        </is>
      </c>
      <c r="G39" s="14" t="inlineStr">
        <is>
          <t>NaN / NULL</t>
        </is>
      </c>
      <c r="H39" s="14" t="inlineStr">
        <is>
          <t>40.6</t>
        </is>
      </c>
    </row>
    <row r="40">
      <c r="A40" s="27" t="inlineStr">
        <is>
          <t>DQ-ISS-030</t>
        </is>
      </c>
      <c r="B40" s="28" t="inlineStr">
        <is>
          <t>raw_utilization</t>
        </is>
      </c>
      <c r="C40" s="28" t="inlineStr">
        <is>
          <t>UTIL-1007801</t>
        </is>
      </c>
      <c r="D40" s="27" t="inlineStr">
        <is>
          <t>DQ009</t>
        </is>
      </c>
      <c r="E40" s="27" t="inlineStr">
        <is>
          <t>High</t>
        </is>
      </c>
      <c r="F40" s="28" t="inlineStr">
        <is>
          <t>Average occupancy must not be null</t>
        </is>
      </c>
      <c r="G40" s="28" t="inlineStr">
        <is>
          <t>NaN / NULL</t>
        </is>
      </c>
      <c r="H40" s="28" t="inlineStr">
        <is>
          <t>50.35</t>
        </is>
      </c>
    </row>
    <row r="41">
      <c r="A41" s="23" t="inlineStr">
        <is>
          <t>DQ-ISS-031</t>
        </is>
      </c>
      <c r="B41" s="14" t="inlineStr">
        <is>
          <t>raw_utilization</t>
        </is>
      </c>
      <c r="C41" s="14" t="inlineStr">
        <is>
          <t>UTIL-1019401</t>
        </is>
      </c>
      <c r="D41" s="23" t="inlineStr">
        <is>
          <t>DQ009</t>
        </is>
      </c>
      <c r="E41" s="23" t="inlineStr">
        <is>
          <t>High</t>
        </is>
      </c>
      <c r="F41" s="14" t="inlineStr">
        <is>
          <t>Average occupancy must not be null</t>
        </is>
      </c>
      <c r="G41" s="14" t="inlineStr">
        <is>
          <t>NaN / NULL</t>
        </is>
      </c>
      <c r="H41" s="14" t="inlineStr">
        <is>
          <t>7.46</t>
        </is>
      </c>
    </row>
    <row r="42">
      <c r="A42" s="27" t="inlineStr">
        <is>
          <t>DQ-ISS-032</t>
        </is>
      </c>
      <c r="B42" s="28" t="inlineStr">
        <is>
          <t>raw_utilization</t>
        </is>
      </c>
      <c r="C42" s="28" t="inlineStr">
        <is>
          <t>UTIL-1033101</t>
        </is>
      </c>
      <c r="D42" s="27" t="inlineStr">
        <is>
          <t>DQ009</t>
        </is>
      </c>
      <c r="E42" s="27" t="inlineStr">
        <is>
          <t>High</t>
        </is>
      </c>
      <c r="F42" s="28" t="inlineStr">
        <is>
          <t>Average occupancy must not be null</t>
        </is>
      </c>
      <c r="G42" s="28" t="inlineStr">
        <is>
          <t>NaN / NULL</t>
        </is>
      </c>
      <c r="H42" s="28" t="inlineStr">
        <is>
          <t>64.78</t>
        </is>
      </c>
    </row>
    <row r="43">
      <c r="A43" s="23" t="inlineStr">
        <is>
          <t>DQ-ISS-033</t>
        </is>
      </c>
      <c r="B43" s="14" t="inlineStr">
        <is>
          <t>raw_utilization</t>
        </is>
      </c>
      <c r="C43" s="14" t="inlineStr">
        <is>
          <t>UTIL-1047801</t>
        </is>
      </c>
      <c r="D43" s="23" t="inlineStr">
        <is>
          <t>DQ009</t>
        </is>
      </c>
      <c r="E43" s="23" t="inlineStr">
        <is>
          <t>High</t>
        </is>
      </c>
      <c r="F43" s="14" t="inlineStr">
        <is>
          <t>Average occupancy must not be null</t>
        </is>
      </c>
      <c r="G43" s="14" t="inlineStr">
        <is>
          <t>NaN / NULL</t>
        </is>
      </c>
      <c r="H43" s="14" t="inlineStr">
        <is>
          <t>76.35</t>
        </is>
      </c>
    </row>
    <row r="44">
      <c r="A44" s="27" t="inlineStr">
        <is>
          <t>DQ-ISS-034</t>
        </is>
      </c>
      <c r="B44" s="28" t="inlineStr">
        <is>
          <t>raw_utilization</t>
        </is>
      </c>
      <c r="C44" s="28" t="inlineStr">
        <is>
          <t>UTIL-1068901</t>
        </is>
      </c>
      <c r="D44" s="27" t="inlineStr">
        <is>
          <t>DQ009</t>
        </is>
      </c>
      <c r="E44" s="27" t="inlineStr">
        <is>
          <t>High</t>
        </is>
      </c>
      <c r="F44" s="28" t="inlineStr">
        <is>
          <t>Average occupancy must not be null</t>
        </is>
      </c>
      <c r="G44" s="28" t="inlineStr">
        <is>
          <t>NaN / NULL</t>
        </is>
      </c>
      <c r="H44" s="28" t="inlineStr">
        <is>
          <t>5.21</t>
        </is>
      </c>
    </row>
    <row r="45">
      <c r="A45" s="23" t="inlineStr">
        <is>
          <t>DQ-ISS-035</t>
        </is>
      </c>
      <c r="B45" s="14" t="inlineStr">
        <is>
          <t>raw_utilization</t>
        </is>
      </c>
      <c r="C45" s="14" t="inlineStr">
        <is>
          <t>UTIL-1095401</t>
        </is>
      </c>
      <c r="D45" s="23" t="inlineStr">
        <is>
          <t>DQ009</t>
        </is>
      </c>
      <c r="E45" s="23" t="inlineStr">
        <is>
          <t>High</t>
        </is>
      </c>
      <c r="F45" s="14" t="inlineStr">
        <is>
          <t>Average occupancy must not be null</t>
        </is>
      </c>
      <c r="G45" s="14" t="inlineStr">
        <is>
          <t>NaN / NULL</t>
        </is>
      </c>
      <c r="H45" s="14" t="inlineStr">
        <is>
          <t>53.73</t>
        </is>
      </c>
    </row>
    <row r="46">
      <c r="A46" s="27" t="inlineStr">
        <is>
          <t>DQ-ISS-036</t>
        </is>
      </c>
      <c r="B46" s="28" t="inlineStr">
        <is>
          <t>raw_utilization</t>
        </is>
      </c>
      <c r="C46" s="28" t="inlineStr">
        <is>
          <t>UTIL-1000151</t>
        </is>
      </c>
      <c r="D46" s="27" t="inlineStr">
        <is>
          <t>DQ010</t>
        </is>
      </c>
      <c r="E46" s="27" t="inlineStr">
        <is>
          <t>High</t>
        </is>
      </c>
      <c r="F46" s="28" t="inlineStr">
        <is>
          <t>Only one observation per space per date</t>
        </is>
      </c>
      <c r="G46" s="28" t="inlineStr">
        <is>
          <t>Duplicate Observation Row</t>
        </is>
      </c>
      <c r="H46" s="28" t="inlineStr">
        <is>
          <t>Single Valid Record</t>
        </is>
      </c>
    </row>
    <row r="47">
      <c r="A47" s="23" t="inlineStr">
        <is>
          <t>DQ-ISS-037</t>
        </is>
      </c>
      <c r="B47" s="14" t="inlineStr">
        <is>
          <t>raw_utilization</t>
        </is>
      </c>
      <c r="C47" s="14" t="inlineStr">
        <is>
          <t>UTIL-1004501</t>
        </is>
      </c>
      <c r="D47" s="23" t="inlineStr">
        <is>
          <t>DQ010</t>
        </is>
      </c>
      <c r="E47" s="23" t="inlineStr">
        <is>
          <t>High</t>
        </is>
      </c>
      <c r="F47" s="14" t="inlineStr">
        <is>
          <t>Only one observation per space per date</t>
        </is>
      </c>
      <c r="G47" s="14" t="inlineStr">
        <is>
          <t>Duplicate Observation Row</t>
        </is>
      </c>
      <c r="H47" s="14" t="inlineStr">
        <is>
          <t>Single Valid Record</t>
        </is>
      </c>
    </row>
    <row r="48">
      <c r="A48" s="27" t="inlineStr">
        <is>
          <t>DQ-ISS-038</t>
        </is>
      </c>
      <c r="B48" s="28" t="inlineStr">
        <is>
          <t>raw_utilization</t>
        </is>
      </c>
      <c r="C48" s="28" t="inlineStr">
        <is>
          <t>UTIL-1025001</t>
        </is>
      </c>
      <c r="D48" s="27" t="inlineStr">
        <is>
          <t>DQ010</t>
        </is>
      </c>
      <c r="E48" s="27" t="inlineStr">
        <is>
          <t>High</t>
        </is>
      </c>
      <c r="F48" s="28" t="inlineStr">
        <is>
          <t>Only one observation per space per date</t>
        </is>
      </c>
      <c r="G48" s="28" t="inlineStr">
        <is>
          <t>Duplicate Observation Row</t>
        </is>
      </c>
      <c r="H48" s="28" t="inlineStr">
        <is>
          <t>Single Valid Record</t>
        </is>
      </c>
    </row>
    <row r="49">
      <c r="A49" s="23" t="inlineStr">
        <is>
          <t>DQ-ISS-039</t>
        </is>
      </c>
      <c r="B49" s="14" t="inlineStr">
        <is>
          <t>raw_utilization</t>
        </is>
      </c>
      <c r="C49" s="14" t="inlineStr">
        <is>
          <t>UTIL-1060001</t>
        </is>
      </c>
      <c r="D49" s="23" t="inlineStr">
        <is>
          <t>DQ010</t>
        </is>
      </c>
      <c r="E49" s="23" t="inlineStr">
        <is>
          <t>High</t>
        </is>
      </c>
      <c r="F49" s="14" t="inlineStr">
        <is>
          <t>Only one observation per space per date</t>
        </is>
      </c>
      <c r="G49" s="14" t="inlineStr">
        <is>
          <t>Duplicate Observation Row</t>
        </is>
      </c>
      <c r="H49" s="14" t="inlineStr">
        <is>
          <t>Single Valid Record</t>
        </is>
      </c>
    </row>
    <row r="50">
      <c r="A50" s="27" t="inlineStr">
        <is>
          <t>DQ-ISS-040</t>
        </is>
      </c>
      <c r="B50" s="28" t="inlineStr">
        <is>
          <t>raw_room_utilization</t>
        </is>
      </c>
      <c r="C50" s="28" t="inlineStr">
        <is>
          <t>ROOM-70046</t>
        </is>
      </c>
      <c r="D50" s="27" t="inlineStr">
        <is>
          <t>DQ011</t>
        </is>
      </c>
      <c r="E50" s="27" t="inlineStr">
        <is>
          <t>Medium</t>
        </is>
      </c>
      <c r="F50" s="28" t="inlineStr">
        <is>
          <t>Attended bookings cannot exceed total scheduled bookings</t>
        </is>
      </c>
      <c r="G50" s="28" t="inlineStr">
        <is>
          <t>6</t>
        </is>
      </c>
      <c r="H50" s="28" t="inlineStr">
        <is>
          <t>3</t>
        </is>
      </c>
    </row>
    <row r="51">
      <c r="A51" s="23" t="inlineStr">
        <is>
          <t>DQ-ISS-041</t>
        </is>
      </c>
      <c r="B51" s="14" t="inlineStr">
        <is>
          <t>raw_room_utilization</t>
        </is>
      </c>
      <c r="C51" s="14" t="inlineStr">
        <is>
          <t>ROOM-70891</t>
        </is>
      </c>
      <c r="D51" s="23" t="inlineStr">
        <is>
          <t>DQ011</t>
        </is>
      </c>
      <c r="E51" s="23" t="inlineStr">
        <is>
          <t>Medium</t>
        </is>
      </c>
      <c r="F51" s="14" t="inlineStr">
        <is>
          <t>Attended bookings cannot exceed total scheduled bookings</t>
        </is>
      </c>
      <c r="G51" s="14" t="inlineStr">
        <is>
          <t>6</t>
        </is>
      </c>
      <c r="H51" s="14" t="inlineStr">
        <is>
          <t>3</t>
        </is>
      </c>
    </row>
    <row r="52">
      <c r="A52" s="27" t="inlineStr">
        <is>
          <t>DQ-ISS-042</t>
        </is>
      </c>
      <c r="B52" s="28" t="inlineStr">
        <is>
          <t>raw_room_utilization</t>
        </is>
      </c>
      <c r="C52" s="28" t="inlineStr">
        <is>
          <t>ROOM-73421</t>
        </is>
      </c>
      <c r="D52" s="27" t="inlineStr">
        <is>
          <t>DQ011</t>
        </is>
      </c>
      <c r="E52" s="27" t="inlineStr">
        <is>
          <t>Medium</t>
        </is>
      </c>
      <c r="F52" s="28" t="inlineStr">
        <is>
          <t>Attended bookings cannot exceed total scheduled bookings</t>
        </is>
      </c>
      <c r="G52" s="28" t="inlineStr">
        <is>
          <t>10</t>
        </is>
      </c>
      <c r="H52" s="28" t="inlineStr">
        <is>
          <t>7</t>
        </is>
      </c>
    </row>
    <row r="53">
      <c r="A53" s="23" t="inlineStr">
        <is>
          <t>DQ-ISS-043</t>
        </is>
      </c>
      <c r="B53" s="14" t="inlineStr">
        <is>
          <t>raw_room_utilization</t>
        </is>
      </c>
      <c r="C53" s="14" t="inlineStr">
        <is>
          <t>ROOM-82501</t>
        </is>
      </c>
      <c r="D53" s="23" t="inlineStr">
        <is>
          <t>DQ011</t>
        </is>
      </c>
      <c r="E53" s="23" t="inlineStr">
        <is>
          <t>Medium</t>
        </is>
      </c>
      <c r="F53" s="14" t="inlineStr">
        <is>
          <t>Attended bookings cannot exceed total scheduled bookings</t>
        </is>
      </c>
      <c r="G53" s="14" t="inlineStr">
        <is>
          <t>8</t>
        </is>
      </c>
      <c r="H53" s="14" t="inlineStr">
        <is>
          <t>5</t>
        </is>
      </c>
    </row>
    <row r="54">
      <c r="A54" s="27" t="inlineStr">
        <is>
          <t>DQ-ISS-044</t>
        </is>
      </c>
      <c r="B54" s="28" t="inlineStr">
        <is>
          <t>raw_room_utilization</t>
        </is>
      </c>
      <c r="C54" s="28" t="inlineStr">
        <is>
          <t>ROOM-98401</t>
        </is>
      </c>
      <c r="D54" s="27" t="inlineStr">
        <is>
          <t>DQ011</t>
        </is>
      </c>
      <c r="E54" s="27" t="inlineStr">
        <is>
          <t>Medium</t>
        </is>
      </c>
      <c r="F54" s="28" t="inlineStr">
        <is>
          <t>Attended bookings cannot exceed total scheduled bookings</t>
        </is>
      </c>
      <c r="G54" s="28" t="inlineStr">
        <is>
          <t>10</t>
        </is>
      </c>
      <c r="H54" s="28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7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  <col width="15" customWidth="1" min="12" max="12"/>
  </cols>
  <sheetData>
    <row r="1"/>
    <row r="2">
      <c r="A2" s="1" t="inlineStr">
        <is>
          <t>PROJECT COORDINATION &amp; WORKSTREAM TRACKER</t>
        </is>
      </c>
    </row>
    <row r="3">
      <c r="A3" s="2" t="inlineStr">
        <is>
          <t>End-to-end milestone monitoring across Data, Analytics, Dashboard, Reporting, and QA</t>
        </is>
      </c>
    </row>
    <row r="4"/>
    <row r="5">
      <c r="A5" s="40" t="inlineStr">
        <is>
          <t>Total Tasks</t>
        </is>
      </c>
      <c r="B5" s="41">
        <f>COUNTA(B11:B32)</f>
        <v/>
      </c>
    </row>
    <row r="6">
      <c r="A6" s="40" t="inlineStr">
        <is>
          <t>Completed Tasks</t>
        </is>
      </c>
      <c r="B6" s="41">
        <f>COUNTIF(E11:E32, "Complete")</f>
        <v/>
      </c>
    </row>
    <row r="7">
      <c r="A7" s="40" t="inlineStr">
        <is>
          <t>In Progress</t>
        </is>
      </c>
      <c r="B7" s="41">
        <f>COUNTIF(E11:E32, "In Progress")</f>
        <v/>
      </c>
    </row>
    <row r="8">
      <c r="A8" s="40" t="inlineStr">
        <is>
          <t>Overall Progress %</t>
        </is>
      </c>
      <c r="B8" s="43">
        <f>AVERAGE(J11:J32)/100</f>
        <v/>
      </c>
    </row>
    <row r="9"/>
    <row r="10">
      <c r="A10" s="13" t="inlineStr">
        <is>
          <t>Workstream</t>
        </is>
      </c>
      <c r="B10" s="13" t="inlineStr">
        <is>
          <t>Task ID</t>
        </is>
      </c>
      <c r="C10" s="13" t="inlineStr">
        <is>
          <t>Task Description</t>
        </is>
      </c>
      <c r="D10" s="13" t="inlineStr">
        <is>
          <t>Owner</t>
        </is>
      </c>
      <c r="E10" s="13" t="inlineStr">
        <is>
          <t>Status</t>
        </is>
      </c>
      <c r="F10" s="13" t="inlineStr">
        <is>
          <t>Priority</t>
        </is>
      </c>
      <c r="G10" s="13" t="inlineStr">
        <is>
          <t>Start Date</t>
        </is>
      </c>
      <c r="H10" s="13" t="inlineStr">
        <is>
          <t>Due Date</t>
        </is>
      </c>
      <c r="I10" s="13" t="inlineStr">
        <is>
          <t>Dependency</t>
        </is>
      </c>
      <c r="J10" s="13" t="inlineStr">
        <is>
          <t>Progress %</t>
        </is>
      </c>
      <c r="K10" s="13" t="inlineStr">
        <is>
          <t>Notes</t>
        </is>
      </c>
      <c r="L10" s="13" t="inlineStr">
        <is>
          <t>Last Updated</t>
        </is>
      </c>
    </row>
    <row r="11">
      <c r="A11" s="23" t="inlineStr">
        <is>
          <t>Data</t>
        </is>
      </c>
      <c r="B11" s="23" t="inlineStr">
        <is>
          <t>DAT-01</t>
        </is>
      </c>
      <c r="C11" s="14" t="inlineStr">
        <is>
          <t>Inspect local environment and configure dependencies</t>
        </is>
      </c>
      <c r="D11" s="14" t="inlineStr">
        <is>
          <t>Lead Analyst</t>
        </is>
      </c>
      <c r="E11" s="23" t="inlineStr">
        <is>
          <t>Complete</t>
        </is>
      </c>
      <c r="F11" s="23" t="inlineStr">
        <is>
          <t>Critical</t>
        </is>
      </c>
      <c r="G11" s="23" t="inlineStr">
        <is>
          <t>2026-09-15</t>
        </is>
      </c>
      <c r="H11" s="23" t="inlineStr">
        <is>
          <t>2026-09-16</t>
        </is>
      </c>
      <c r="I11" s="23" t="inlineStr">
        <is>
          <t>nan</t>
        </is>
      </c>
      <c r="J11" s="44" t="n">
        <v>100</v>
      </c>
      <c r="K11" s="14" t="inlineStr">
        <is>
          <t>Verified Python 3.14 openpyxl duckdb reportlab pptx</t>
        </is>
      </c>
      <c r="L11" s="23" t="inlineStr">
        <is>
          <t>2026-09-16</t>
        </is>
      </c>
    </row>
    <row r="12">
      <c r="A12" s="27" t="inlineStr">
        <is>
          <t>Data</t>
        </is>
      </c>
      <c r="B12" s="27" t="inlineStr">
        <is>
          <t>DAT-02</t>
        </is>
      </c>
      <c r="C12" s="28" t="inlineStr">
        <is>
          <t>Conduct commercial real estate domain and benchmark research</t>
        </is>
      </c>
      <c r="D12" s="28" t="inlineStr">
        <is>
          <t>Lead Analyst</t>
        </is>
      </c>
      <c r="E12" s="27" t="inlineStr">
        <is>
          <t>Complete</t>
        </is>
      </c>
      <c r="F12" s="27" t="inlineStr">
        <is>
          <t>High</t>
        </is>
      </c>
      <c r="G12" s="27" t="inlineStr">
        <is>
          <t>2026-09-16</t>
        </is>
      </c>
      <c r="H12" s="27" t="inlineStr">
        <is>
          <t>2026-09-18</t>
        </is>
      </c>
      <c r="I12" s="27" t="inlineStr">
        <is>
          <t>DAT-01</t>
        </is>
      </c>
      <c r="J12" s="45" t="n">
        <v>100</v>
      </c>
      <c r="K12" s="28" t="inlineStr">
        <is>
          <t>Authored docs/research_notes.md covering 20 CRE topics</t>
        </is>
      </c>
      <c r="L12" s="27" t="inlineStr">
        <is>
          <t>2026-09-18</t>
        </is>
      </c>
    </row>
    <row r="13">
      <c r="A13" s="23" t="inlineStr">
        <is>
          <t>Data</t>
        </is>
      </c>
      <c r="B13" s="23" t="inlineStr">
        <is>
          <t>DAT-03</t>
        </is>
      </c>
      <c r="C13" s="14" t="inlineStr">
        <is>
          <t>Define portfolio star schema and data dictionary</t>
        </is>
      </c>
      <c r="D13" s="14" t="inlineStr">
        <is>
          <t>Lead Analyst</t>
        </is>
      </c>
      <c r="E13" s="23" t="inlineStr">
        <is>
          <t>Complete</t>
        </is>
      </c>
      <c r="F13" s="23" t="inlineStr">
        <is>
          <t>Critical</t>
        </is>
      </c>
      <c r="G13" s="23" t="inlineStr">
        <is>
          <t>2026-09-18</t>
        </is>
      </c>
      <c r="H13" s="23" t="inlineStr">
        <is>
          <t>2026-09-19</t>
        </is>
      </c>
      <c r="I13" s="23" t="inlineStr">
        <is>
          <t>DAT-02</t>
        </is>
      </c>
      <c r="J13" s="44" t="n">
        <v>100</v>
      </c>
      <c r="K13" s="14" t="inlineStr">
        <is>
          <t>Authored data and metric dictionaries with strict constraints</t>
        </is>
      </c>
      <c r="L13" s="23" t="inlineStr">
        <is>
          <t>2026-09-19</t>
        </is>
      </c>
    </row>
    <row r="14">
      <c r="A14" s="27" t="inlineStr">
        <is>
          <t>Data</t>
        </is>
      </c>
      <c r="B14" s="27" t="inlineStr">
        <is>
          <t>DAT-04</t>
        </is>
      </c>
      <c r="C14" s="28" t="inlineStr">
        <is>
          <t>Build deterministic synthetic data generation engine</t>
        </is>
      </c>
      <c r="D14" s="28" t="inlineStr">
        <is>
          <t>Lead Analyst</t>
        </is>
      </c>
      <c r="E14" s="27" t="inlineStr">
        <is>
          <t>Complete</t>
        </is>
      </c>
      <c r="F14" s="27" t="inlineStr">
        <is>
          <t>Critical</t>
        </is>
      </c>
      <c r="G14" s="27" t="inlineStr">
        <is>
          <t>2026-09-19</t>
        </is>
      </c>
      <c r="H14" s="27" t="inlineStr">
        <is>
          <t>2026-09-22</t>
        </is>
      </c>
      <c r="I14" s="27" t="inlineStr">
        <is>
          <t>DAT-03</t>
        </is>
      </c>
      <c r="J14" s="45" t="n">
        <v>100</v>
      </c>
      <c r="K14" s="28" t="inlineStr">
        <is>
          <t>Generated 25 properties 112 floors 809 spaces and 282k fact rows</t>
        </is>
      </c>
      <c r="L14" s="27" t="inlineStr">
        <is>
          <t>2026-09-22</t>
        </is>
      </c>
    </row>
    <row r="15">
      <c r="A15" s="23" t="inlineStr">
        <is>
          <t>Data Quality</t>
        </is>
      </c>
      <c r="B15" s="23" t="inlineStr">
        <is>
          <t>DQ-01</t>
        </is>
      </c>
      <c r="C15" s="14" t="inlineStr">
        <is>
          <t>Inject controlled operational defects and build manifest</t>
        </is>
      </c>
      <c r="D15" s="14" t="inlineStr">
        <is>
          <t>Data Quality Engineer</t>
        </is>
      </c>
      <c r="E15" s="23" t="inlineStr">
        <is>
          <t>Complete</t>
        </is>
      </c>
      <c r="F15" s="23" t="inlineStr">
        <is>
          <t>High</t>
        </is>
      </c>
      <c r="G15" s="23" t="inlineStr">
        <is>
          <t>2026-09-22</t>
        </is>
      </c>
      <c r="H15" s="23" t="inlineStr">
        <is>
          <t>2026-09-23</t>
        </is>
      </c>
      <c r="I15" s="23" t="inlineStr">
        <is>
          <t>DAT-04</t>
        </is>
      </c>
      <c r="J15" s="44" t="n">
        <v>100</v>
      </c>
      <c r="K15" s="14" t="inlineStr">
        <is>
          <t>Injected 44 realistic defects across 6 dimensions into raw layer</t>
        </is>
      </c>
      <c r="L15" s="23" t="inlineStr">
        <is>
          <t>2026-09-23</t>
        </is>
      </c>
    </row>
    <row r="16">
      <c r="A16" s="27" t="inlineStr">
        <is>
          <t>Data Quality</t>
        </is>
      </c>
      <c r="B16" s="27" t="inlineStr">
        <is>
          <t>DQ-02</t>
        </is>
      </c>
      <c r="C16" s="28" t="inlineStr">
        <is>
          <t>Build automated data quality validation engine</t>
        </is>
      </c>
      <c r="D16" s="28" t="inlineStr">
        <is>
          <t>Data Quality Engineer</t>
        </is>
      </c>
      <c r="E16" s="27" t="inlineStr">
        <is>
          <t>Complete</t>
        </is>
      </c>
      <c r="F16" s="27" t="inlineStr">
        <is>
          <t>Critical</t>
        </is>
      </c>
      <c r="G16" s="27" t="inlineStr">
        <is>
          <t>2026-09-23</t>
        </is>
      </c>
      <c r="H16" s="27" t="inlineStr">
        <is>
          <t>2026-09-24</t>
        </is>
      </c>
      <c r="I16" s="27" t="inlineStr">
        <is>
          <t>DQ-01</t>
        </is>
      </c>
      <c r="J16" s="45" t="n">
        <v>100</v>
      </c>
      <c r="K16" s="28" t="inlineStr">
        <is>
          <t>Codified rules DQ001 to DQ012 with 99.98% pass rate verification</t>
        </is>
      </c>
      <c r="L16" s="27" t="inlineStr">
        <is>
          <t>2026-09-24</t>
        </is>
      </c>
    </row>
    <row r="17">
      <c r="A17" s="23" t="inlineStr">
        <is>
          <t>Data Quality</t>
        </is>
      </c>
      <c r="B17" s="23" t="inlineStr">
        <is>
          <t>DQ-03</t>
        </is>
      </c>
      <c r="C17" s="14" t="inlineStr">
        <is>
          <t>Build data cleaning and standardization pipeline</t>
        </is>
      </c>
      <c r="D17" s="14" t="inlineStr">
        <is>
          <t>Data Quality Engineer</t>
        </is>
      </c>
      <c r="E17" s="23" t="inlineStr">
        <is>
          <t>Complete</t>
        </is>
      </c>
      <c r="F17" s="23" t="inlineStr">
        <is>
          <t>Critical</t>
        </is>
      </c>
      <c r="G17" s="23" t="inlineStr">
        <is>
          <t>2026-09-24</t>
        </is>
      </c>
      <c r="H17" s="23" t="inlineStr">
        <is>
          <t>2026-09-25</t>
        </is>
      </c>
      <c r="I17" s="23" t="inlineStr">
        <is>
          <t>DQ-02</t>
        </is>
      </c>
      <c r="J17" s="44" t="n">
        <v>100</v>
      </c>
      <c r="K17" s="14" t="inlineStr">
        <is>
          <t>Standardized geocoding and resolved all 44 manifest issues</t>
        </is>
      </c>
      <c r="L17" s="23" t="inlineStr">
        <is>
          <t>2026-09-25</t>
        </is>
      </c>
    </row>
    <row r="18">
      <c r="A18" s="27" t="inlineStr">
        <is>
          <t>Analytics</t>
        </is>
      </c>
      <c r="B18" s="27" t="inlineStr">
        <is>
          <t>ANA-01</t>
        </is>
      </c>
      <c r="C18" s="28" t="inlineStr">
        <is>
          <t>Deploy relational DDL schema and load clean tables</t>
        </is>
      </c>
      <c r="D18" s="28" t="inlineStr">
        <is>
          <t>SQL Developer</t>
        </is>
      </c>
      <c r="E18" s="27" t="inlineStr">
        <is>
          <t>Complete</t>
        </is>
      </c>
      <c r="F18" s="27" t="inlineStr">
        <is>
          <t>High</t>
        </is>
      </c>
      <c r="G18" s="27" t="inlineStr">
        <is>
          <t>2026-09-25</t>
        </is>
      </c>
      <c r="H18" s="27" t="inlineStr">
        <is>
          <t>2026-09-26</t>
        </is>
      </c>
      <c r="I18" s="27" t="inlineStr">
        <is>
          <t>DQ-03</t>
        </is>
      </c>
      <c r="J18" s="45" t="n">
        <v>100</v>
      </c>
      <c r="K18" s="28" t="inlineStr">
        <is>
          <t>Loaded 12 tables into relational DB with 0 FK violations</t>
        </is>
      </c>
      <c r="L18" s="27" t="inlineStr">
        <is>
          <t>2026-09-26</t>
        </is>
      </c>
    </row>
    <row r="19">
      <c r="A19" s="23" t="inlineStr">
        <is>
          <t>Analytics</t>
        </is>
      </c>
      <c r="B19" s="23" t="inlineStr">
        <is>
          <t>ANA-02</t>
        </is>
      </c>
      <c r="C19" s="14" t="inlineStr">
        <is>
          <t>Develop analytical SQL query and views library</t>
        </is>
      </c>
      <c r="D19" s="14" t="inlineStr">
        <is>
          <t>SQL Developer</t>
        </is>
      </c>
      <c r="E19" s="23" t="inlineStr">
        <is>
          <t>Complete</t>
        </is>
      </c>
      <c r="F19" s="23" t="inlineStr">
        <is>
          <t>High</t>
        </is>
      </c>
      <c r="G19" s="23" t="inlineStr">
        <is>
          <t>2026-09-26</t>
        </is>
      </c>
      <c r="H19" s="23" t="inlineStr">
        <is>
          <t>2026-09-27</t>
        </is>
      </c>
      <c r="I19" s="23" t="inlineStr">
        <is>
          <t>ANA-01</t>
        </is>
      </c>
      <c r="J19" s="44" t="n">
        <v>100</v>
      </c>
      <c r="K19" s="14" t="inlineStr">
        <is>
          <t>Implemented 16 business queries and 7 analytical reporting views</t>
        </is>
      </c>
      <c r="L19" s="23" t="inlineStr">
        <is>
          <t>2026-09-27</t>
        </is>
      </c>
    </row>
    <row r="20">
      <c r="A20" s="27" t="inlineStr">
        <is>
          <t>Analytics</t>
        </is>
      </c>
      <c r="B20" s="27" t="inlineStr">
        <is>
          <t>ANA-03</t>
        </is>
      </c>
      <c r="C20" s="28" t="inlineStr">
        <is>
          <t>Execute exploratory analysis and render diagnostic charts</t>
        </is>
      </c>
      <c r="D20" s="28" t="inlineStr">
        <is>
          <t>BI Analyst</t>
        </is>
      </c>
      <c r="E20" s="27" t="inlineStr">
        <is>
          <t>Complete</t>
        </is>
      </c>
      <c r="F20" s="27" t="inlineStr">
        <is>
          <t>High</t>
        </is>
      </c>
      <c r="G20" s="27" t="inlineStr">
        <is>
          <t>2026-09-27</t>
        </is>
      </c>
      <c r="H20" s="27" t="inlineStr">
        <is>
          <t>2026-09-28</t>
        </is>
      </c>
      <c r="I20" s="27" t="inlineStr">
        <is>
          <t>ANA-02</t>
        </is>
      </c>
      <c r="J20" s="45" t="n">
        <v>100</v>
      </c>
      <c r="K20" s="28" t="inlineStr">
        <is>
          <t>Generated 5 publication charts for weekday matrix cost and PAI</t>
        </is>
      </c>
      <c r="L20" s="27" t="inlineStr">
        <is>
          <t>2026-09-28</t>
        </is>
      </c>
    </row>
    <row r="21">
      <c r="A21" s="23" t="inlineStr">
        <is>
          <t>Analytics</t>
        </is>
      </c>
      <c r="B21" s="23" t="inlineStr">
        <is>
          <t>ANA-04</t>
        </is>
      </c>
      <c r="C21" s="14" t="inlineStr">
        <is>
          <t>Compute Portfolio Attention Index and sensitivity analysis</t>
        </is>
      </c>
      <c r="D21" s="14" t="inlineStr">
        <is>
          <t>BI Analyst</t>
        </is>
      </c>
      <c r="E21" s="23" t="inlineStr">
        <is>
          <t>Complete</t>
        </is>
      </c>
      <c r="F21" s="23" t="inlineStr">
        <is>
          <t>Critical</t>
        </is>
      </c>
      <c r="G21" s="23" t="inlineStr">
        <is>
          <t>2026-09-28</t>
        </is>
      </c>
      <c r="H21" s="23" t="inlineStr">
        <is>
          <t>2026-09-29</t>
        </is>
      </c>
      <c r="I21" s="23" t="inlineStr">
        <is>
          <t>ANA-03</t>
        </is>
      </c>
      <c r="J21" s="44" t="n">
        <v>100</v>
      </c>
      <c r="K21" s="14" t="inlineStr">
        <is>
          <t>Validated 5-factor PAI with Spearman rho &gt; 0.97 across 4 schemes</t>
        </is>
      </c>
      <c r="L21" s="23" t="inlineStr">
        <is>
          <t>2026-09-29</t>
        </is>
      </c>
    </row>
    <row r="22">
      <c r="A22" s="27" t="inlineStr">
        <is>
          <t>Analytics</t>
        </is>
      </c>
      <c r="B22" s="27" t="inlineStr">
        <is>
          <t>ANA-05</t>
        </is>
      </c>
      <c r="C22" s="28" t="inlineStr">
        <is>
          <t>Build capacity consolidation decision scenario model</t>
        </is>
      </c>
      <c r="D22" s="28" t="inlineStr">
        <is>
          <t>Lead Analyst</t>
        </is>
      </c>
      <c r="E22" s="27" t="inlineStr">
        <is>
          <t>Complete</t>
        </is>
      </c>
      <c r="F22" s="27" t="inlineStr">
        <is>
          <t>Medium</t>
        </is>
      </c>
      <c r="G22" s="27" t="inlineStr">
        <is>
          <t>2026-09-29</t>
        </is>
      </c>
      <c r="H22" s="27" t="inlineStr">
        <is>
          <t>2026-09-30</t>
        </is>
      </c>
      <c r="I22" s="27" t="inlineStr">
        <is>
          <t>ANA-04</t>
        </is>
      </c>
      <c r="J22" s="45" t="n">
        <v>100</v>
      </c>
      <c r="K22" s="28" t="inlineStr">
        <is>
          <t>Modeled 10% 15% and 20% seat surrender scenarios with cost elasticity</t>
        </is>
      </c>
      <c r="L22" s="27" t="inlineStr">
        <is>
          <t>2026-09-30</t>
        </is>
      </c>
    </row>
    <row r="23">
      <c r="A23" s="23" t="inlineStr">
        <is>
          <t>Dashboard</t>
        </is>
      </c>
      <c r="B23" s="23" t="inlineStr">
        <is>
          <t>DSH-01</t>
        </is>
      </c>
      <c r="C23" s="14" t="inlineStr">
        <is>
          <t>Construct Power BI Tabular Model schema and DAX measures</t>
        </is>
      </c>
      <c r="D23" s="14" t="inlineStr">
        <is>
          <t>BI Developer</t>
        </is>
      </c>
      <c r="E23" s="23" t="inlineStr">
        <is>
          <t>Complete</t>
        </is>
      </c>
      <c r="F23" s="23" t="inlineStr">
        <is>
          <t>Critical</t>
        </is>
      </c>
      <c r="G23" s="23" t="inlineStr">
        <is>
          <t>2026-09-30</t>
        </is>
      </c>
      <c r="H23" s="23" t="inlineStr">
        <is>
          <t>2026-10-01</t>
        </is>
      </c>
      <c r="I23" s="23" t="inlineStr">
        <is>
          <t>ANA-05</t>
        </is>
      </c>
      <c r="J23" s="44" t="n">
        <v>100</v>
      </c>
      <c r="K23" s="14" t="inlineStr">
        <is>
          <t>Created Model.bim theme.json and 31 explicit DAX measures</t>
        </is>
      </c>
      <c r="L23" s="23" t="inlineStr">
        <is>
          <t>2026-10-01</t>
        </is>
      </c>
    </row>
    <row r="24">
      <c r="A24" s="27" t="inlineStr">
        <is>
          <t>Dashboard</t>
        </is>
      </c>
      <c r="B24" s="27" t="inlineStr">
        <is>
          <t>DSH-02</t>
        </is>
      </c>
      <c r="C24" s="28" t="inlineStr">
        <is>
          <t>Design 6 core dashboard pages and drill-through spec</t>
        </is>
      </c>
      <c r="D24" s="28" t="inlineStr">
        <is>
          <t>BI Developer</t>
        </is>
      </c>
      <c r="E24" s="27" t="inlineStr">
        <is>
          <t>Complete</t>
        </is>
      </c>
      <c r="F24" s="27" t="inlineStr">
        <is>
          <t>High</t>
        </is>
      </c>
      <c r="G24" s="27" t="inlineStr">
        <is>
          <t>2026-10-01</t>
        </is>
      </c>
      <c r="H24" s="27" t="inlineStr">
        <is>
          <t>2026-10-01</t>
        </is>
      </c>
      <c r="I24" s="27" t="inlineStr">
        <is>
          <t>DSH-01</t>
        </is>
      </c>
      <c r="J24" s="45" t="n">
        <v>100</v>
      </c>
      <c r="K24" s="28" t="inlineStr">
        <is>
          <t>Specified executive layout pressure matrix and drill-through views</t>
        </is>
      </c>
      <c r="L24" s="27" t="inlineStr">
        <is>
          <t>2026-10-01</t>
        </is>
      </c>
    </row>
    <row r="25">
      <c r="A25" s="23" t="inlineStr">
        <is>
          <t>Dashboard</t>
        </is>
      </c>
      <c r="B25" s="23" t="inlineStr">
        <is>
          <t>DSH-03</t>
        </is>
      </c>
      <c r="C25" s="14" t="inlineStr">
        <is>
          <t>Build interactive dashboard web preview application</t>
        </is>
      </c>
      <c r="D25" s="14" t="inlineStr">
        <is>
          <t>Front-End / BI Developer</t>
        </is>
      </c>
      <c r="E25" s="23" t="inlineStr">
        <is>
          <t>Complete</t>
        </is>
      </c>
      <c r="F25" s="23" t="inlineStr">
        <is>
          <t>High</t>
        </is>
      </c>
      <c r="G25" s="23" t="inlineStr">
        <is>
          <t>2026-10-01</t>
        </is>
      </c>
      <c r="H25" s="23" t="inlineStr">
        <is>
          <t>2026-10-02</t>
        </is>
      </c>
      <c r="I25" s="23" t="inlineStr">
        <is>
          <t>DSH-02</t>
        </is>
      </c>
      <c r="J25" s="44" t="n">
        <v>100</v>
      </c>
      <c r="K25" s="14" t="inlineStr">
        <is>
          <t>Deployed zero-dependency interactive dashboard with working slicers</t>
        </is>
      </c>
      <c r="L25" s="23" t="inlineStr">
        <is>
          <t>2026-10-02</t>
        </is>
      </c>
    </row>
    <row r="26">
      <c r="A26" s="27" t="inlineStr">
        <is>
          <t>Reporting</t>
        </is>
      </c>
      <c r="B26" s="27" t="inlineStr">
        <is>
          <t>REP-01</t>
        </is>
      </c>
      <c r="C26" s="28" t="inlineStr">
        <is>
          <t>Construct multi-tab formula-driven Excel management workbook</t>
        </is>
      </c>
      <c r="D26" s="28" t="inlineStr">
        <is>
          <t>Financial Analyst</t>
        </is>
      </c>
      <c r="E26" s="27" t="inlineStr">
        <is>
          <t>Complete</t>
        </is>
      </c>
      <c r="F26" s="27" t="inlineStr">
        <is>
          <t>Critical</t>
        </is>
      </c>
      <c r="G26" s="27" t="inlineStr">
        <is>
          <t>2026-10-02</t>
        </is>
      </c>
      <c r="H26" s="27" t="inlineStr">
        <is>
          <t>2026-10-02</t>
        </is>
      </c>
      <c r="I26" s="27" t="inlineStr">
        <is>
          <t>DSH-03</t>
        </is>
      </c>
      <c r="J26" s="45" t="n">
        <v>100</v>
      </c>
      <c r="K26" s="28" t="inlineStr">
        <is>
          <t>Built 8-sheet workbook with live formulas formatting and freeze panes</t>
        </is>
      </c>
      <c r="L26" s="27" t="inlineStr">
        <is>
          <t>2026-10-02</t>
        </is>
      </c>
    </row>
    <row r="27">
      <c r="A27" s="23" t="inlineStr">
        <is>
          <t>Reporting</t>
        </is>
      </c>
      <c r="B27" s="23" t="inlineStr">
        <is>
          <t>REP-02</t>
        </is>
      </c>
      <c r="C27" s="14" t="inlineStr">
        <is>
          <t>Author and typeset 10-page executive management PDF report</t>
        </is>
      </c>
      <c r="D27" s="14" t="inlineStr">
        <is>
          <t>Report Designer</t>
        </is>
      </c>
      <c r="E27" s="23" t="inlineStr">
        <is>
          <t>Complete</t>
        </is>
      </c>
      <c r="F27" s="23" t="inlineStr">
        <is>
          <t>Critical</t>
        </is>
      </c>
      <c r="G27" s="23" t="inlineStr">
        <is>
          <t>2026-10-02</t>
        </is>
      </c>
      <c r="H27" s="23" t="inlineStr">
        <is>
          <t>2026-10-02</t>
        </is>
      </c>
      <c r="I27" s="23" t="inlineStr">
        <is>
          <t>REP-01</t>
        </is>
      </c>
      <c r="J27" s="44" t="n">
        <v>100</v>
      </c>
      <c r="K27" s="14" t="inlineStr">
        <is>
          <t>Typeset publication-grade PDF with embedded charts and evidence</t>
        </is>
      </c>
      <c r="L27" s="23" t="inlineStr">
        <is>
          <t>2026-10-02</t>
        </is>
      </c>
    </row>
    <row r="28">
      <c r="A28" s="27" t="inlineStr">
        <is>
          <t>Presentation</t>
        </is>
      </c>
      <c r="B28" s="27" t="inlineStr">
        <is>
          <t>PRS-01</t>
        </is>
      </c>
      <c r="C28" s="28" t="inlineStr">
        <is>
          <t>Build 7-slide executive review PowerPoint presentation</t>
        </is>
      </c>
      <c r="D28" s="28" t="inlineStr">
        <is>
          <t>Presentation Specialist</t>
        </is>
      </c>
      <c r="E28" s="27" t="inlineStr">
        <is>
          <t>Complete</t>
        </is>
      </c>
      <c r="F28" s="27" t="inlineStr">
        <is>
          <t>Critical</t>
        </is>
      </c>
      <c r="G28" s="27" t="inlineStr">
        <is>
          <t>2026-10-02</t>
        </is>
      </c>
      <c r="H28" s="27" t="inlineStr">
        <is>
          <t>2026-10-02</t>
        </is>
      </c>
      <c r="I28" s="27" t="inlineStr">
        <is>
          <t>REP-02</t>
        </is>
      </c>
      <c r="J28" s="45" t="n">
        <v>100</v>
      </c>
      <c r="K28" s="28" t="inlineStr">
        <is>
          <t>Designed corporate PPTX deck with message headlines and callouts</t>
        </is>
      </c>
      <c r="L28" s="27" t="inlineStr">
        <is>
          <t>2026-10-02</t>
        </is>
      </c>
    </row>
    <row r="29">
      <c r="A29" s="23" t="inlineStr">
        <is>
          <t>QA</t>
        </is>
      </c>
      <c r="B29" s="23" t="inlineStr">
        <is>
          <t>QA-01</t>
        </is>
      </c>
      <c r="C29" s="14" t="inlineStr">
        <is>
          <t>Build automated test suite and regression tests</t>
        </is>
      </c>
      <c r="D29" s="14" t="inlineStr">
        <is>
          <t>QA Engineer</t>
        </is>
      </c>
      <c r="E29" s="23" t="inlineStr">
        <is>
          <t>Complete</t>
        </is>
      </c>
      <c r="F29" s="23" t="inlineStr">
        <is>
          <t>Critical</t>
        </is>
      </c>
      <c r="G29" s="23" t="inlineStr">
        <is>
          <t>2026-10-02</t>
        </is>
      </c>
      <c r="H29" s="23" t="inlineStr">
        <is>
          <t>2026-10-02</t>
        </is>
      </c>
      <c r="I29" s="23" t="inlineStr">
        <is>
          <t>PRS-01</t>
        </is>
      </c>
      <c r="J29" s="44" t="n">
        <v>100</v>
      </c>
      <c r="K29" s="14" t="inlineStr">
        <is>
          <t>Implemented pytest suite verifying constraints and calculations</t>
        </is>
      </c>
      <c r="L29" s="23" t="inlineStr">
        <is>
          <t>2026-10-02</t>
        </is>
      </c>
    </row>
    <row r="30">
      <c r="A30" s="27" t="inlineStr">
        <is>
          <t>QA</t>
        </is>
      </c>
      <c r="B30" s="27" t="inlineStr">
        <is>
          <t>QA-02</t>
        </is>
      </c>
      <c r="C30" s="28" t="inlineStr">
        <is>
          <t>Execute cross-tool analytical reconciliation audit</t>
        </is>
      </c>
      <c r="D30" s="28" t="inlineStr">
        <is>
          <t>Lead Analyst</t>
        </is>
      </c>
      <c r="E30" s="27" t="inlineStr">
        <is>
          <t>Complete</t>
        </is>
      </c>
      <c r="F30" s="27" t="inlineStr">
        <is>
          <t>Critical</t>
        </is>
      </c>
      <c r="G30" s="27" t="inlineStr">
        <is>
          <t>2026-10-02</t>
        </is>
      </c>
      <c r="H30" s="27" t="inlineStr">
        <is>
          <t>2026-10-02</t>
        </is>
      </c>
      <c r="I30" s="27" t="inlineStr">
        <is>
          <t>QA-01</t>
        </is>
      </c>
      <c r="J30" s="45" t="n">
        <v>100</v>
      </c>
      <c r="K30" s="28" t="inlineStr">
        <is>
          <t>Reconciled totals across Python SQL Power BI and Excel</t>
        </is>
      </c>
      <c r="L30" s="27" t="inlineStr">
        <is>
          <t>2026-10-02</t>
        </is>
      </c>
    </row>
    <row r="31">
      <c r="A31" s="23" t="inlineStr">
        <is>
          <t>QA</t>
        </is>
      </c>
      <c r="B31" s="23" t="inlineStr">
        <is>
          <t>QA-03</t>
        </is>
      </c>
      <c r="C31" s="14" t="inlineStr">
        <is>
          <t>Conduct visual QA and rendering inspection on PDF and deck</t>
        </is>
      </c>
      <c r="D31" s="14" t="inlineStr">
        <is>
          <t>Lead Designer</t>
        </is>
      </c>
      <c r="E31" s="23" t="inlineStr">
        <is>
          <t>Complete</t>
        </is>
      </c>
      <c r="F31" s="23" t="inlineStr">
        <is>
          <t>High</t>
        </is>
      </c>
      <c r="G31" s="23" t="inlineStr">
        <is>
          <t>2026-10-02</t>
        </is>
      </c>
      <c r="H31" s="23" t="inlineStr">
        <is>
          <t>2026-10-02</t>
        </is>
      </c>
      <c r="I31" s="23" t="inlineStr">
        <is>
          <t>QA-02</t>
        </is>
      </c>
      <c r="J31" s="44" t="n">
        <v>100</v>
      </c>
      <c r="K31" s="14" t="inlineStr">
        <is>
          <t>Rendered PDF and slides to images and verified visual bounds</t>
        </is>
      </c>
      <c r="L31" s="23" t="inlineStr">
        <is>
          <t>2026-10-02</t>
        </is>
      </c>
    </row>
    <row r="32">
      <c r="A32" s="27" t="inlineStr">
        <is>
          <t>Documentation</t>
        </is>
      </c>
      <c r="B32" s="27" t="inlineStr">
        <is>
          <t>DOC-01</t>
        </is>
      </c>
      <c r="C32" s="28" t="inlineStr">
        <is>
          <t>Perform humanization audit and finalize README portfolio</t>
        </is>
      </c>
      <c r="D32" s="28" t="inlineStr">
        <is>
          <t>Lead Analyst</t>
        </is>
      </c>
      <c r="E32" s="27" t="inlineStr">
        <is>
          <t>Complete</t>
        </is>
      </c>
      <c r="F32" s="27" t="inlineStr">
        <is>
          <t>Critical</t>
        </is>
      </c>
      <c r="G32" s="27" t="inlineStr">
        <is>
          <t>2026-10-02</t>
        </is>
      </c>
      <c r="H32" s="27" t="inlineStr">
        <is>
          <t>2026-10-02</t>
        </is>
      </c>
      <c r="I32" s="27" t="inlineStr">
        <is>
          <t>QA-03</t>
        </is>
      </c>
      <c r="J32" s="45" t="n">
        <v>100</v>
      </c>
      <c r="K32" s="28" t="inlineStr">
        <is>
          <t>Removed generic AI buzzwords and finalized GitHub portfolio structure</t>
        </is>
      </c>
      <c r="L32" s="27" t="inlineStr">
        <is>
          <t>2026-10-02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/>
    <row r="2">
      <c r="A2" s="1" t="inlineStr">
        <is>
          <t>ANALYTICAL METHODOLOGY &amp; METRIC FORMULARY</t>
        </is>
      </c>
    </row>
    <row r="3">
      <c r="A3" s="2" t="inlineStr">
        <is>
          <t>Mathematical formulations, spatial definitions, and professional benchmark references</t>
        </is>
      </c>
    </row>
    <row r="4"/>
    <row r="5">
      <c r="A5" s="12" t="inlineStr">
        <is>
          <t>1. Spatial Area Measurement</t>
        </is>
      </c>
    </row>
    <row r="6">
      <c r="A6" s="22" t="inlineStr">
        <is>
          <t>Usable Area (m²) represents net internal workable office floor space excluding building cores, lift lobbies, and vertical mechanical shafts. Rentable Area includes pro-rata common core areas. BOMA loss factor = (Rentable - Usable) / Rentable.</t>
        </is>
      </c>
    </row>
    <row r="7"/>
    <row r="8">
      <c r="A8" s="12" t="inlineStr">
        <is>
          <t>2. Workplace Utilization Formulation</t>
        </is>
      </c>
    </row>
    <row r="9">
      <c r="A9" s="22" t="inlineStr">
        <is>
          <t>Average Utilization Rate % = Sum of Actual Occupied Hours divided by Available Capacity Hours (Capacity x 10 operating hours/day). Peak Utilization % = Maximum concurrent occupants observed during peak hour divided by capacity.</t>
        </is>
      </c>
    </row>
    <row r="10"/>
    <row r="11">
      <c r="A11" s="12" t="inlineStr">
        <is>
          <t>3. Capacity Pressure Choke Point</t>
        </is>
      </c>
    </row>
    <row r="12">
      <c r="A12" s="22" t="inlineStr">
        <is>
          <t>Defined as the percentage of business days where peak utilization equals or exceeds 85.0%. Facilities operating above this threshold experience acute meeting room shortages and desk crowding.</t>
        </is>
      </c>
    </row>
    <row r="13"/>
    <row r="14">
      <c r="A14" s="12" t="inlineStr">
        <is>
          <t>4. Occupancy Cost Metrics</t>
        </is>
      </c>
    </row>
    <row r="15">
      <c r="A15" s="22" t="inlineStr">
        <is>
          <t>Cost per Available Seat = Annual Operating Cost / Capacity Seats. Cost per Occupied Seat = Annual Operating Cost / Average Daily Presence. Utilization Cost Premium = Difference between occupied cost and available seat carrying cost.</t>
        </is>
      </c>
    </row>
    <row r="16"/>
    <row r="17">
      <c r="A17" s="12" t="inlineStr">
        <is>
          <t>5. Portfolio Attention Index (PAI)</t>
        </is>
      </c>
    </row>
    <row r="18">
      <c r="A18" s="22" t="inlineStr">
        <is>
          <t>Project-defined prioritization score (0 to 100): 30% Utilization Inefficiency + 20% Cost Intensity + 20% Lease Exposure + 15% Capacity Pressure + 15% Data Quality Risk. Sensitivity testing confirms rank stability (Spearman rho &gt; 0.97).</t>
        </is>
      </c>
    </row>
    <row r="19"/>
    <row r="20">
      <c r="A20" s="12" t="inlineStr">
        <is>
          <t>6. Reference FX Rates</t>
        </is>
      </c>
    </row>
    <row r="21">
      <c r="A21" s="22" t="inlineStr">
        <is>
          <t>INR reference conversion: 1 SGD = ₹63.50; 1 AUD = ₹55.20; 1 MYR = ₹18.20; 1 THB = ₹2.35; 10,000 IDR = ₹53.00. Rates reflect fixed project baseline assumptions.</t>
        </is>
      </c>
    </row>
    <row r="22"/>
    <row r="23">
      <c r="A23" s="12" t="inlineStr">
        <is>
          <t>7. Mandatory Synthetic Disclosure</t>
        </is>
      </c>
    </row>
    <row r="24">
      <c r="A24" s="22" t="inlineStr">
        <is>
          <t>The operational dataset in this workbook is synthetic and generated programmatically for analytical demonstration. It does not represent any real organization's properties or lease liabilities.</t>
        </is>
      </c>
    </row>
  </sheetData>
  <mergeCells count="7">
    <mergeCell ref="A9:H9"/>
    <mergeCell ref="A18:H18"/>
    <mergeCell ref="A12:H12"/>
    <mergeCell ref="A21:H21"/>
    <mergeCell ref="A15:H15"/>
    <mergeCell ref="A24:H24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2026-10-02T14:04:41Z</dcterms:created>
  <dcterms:modified xmlns:dcterms="http://purl.org/dc/terms/" xmlns:xsi="http://www.w3.org/2001/XMLSchema-instance" xsi:type="dcterms:W3CDTF">2026-10-02T14:04:42Z</dcterms:modified>
</cp:coreProperties>
</file>